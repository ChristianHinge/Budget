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Visual Studio 2015\Projects\Budget\"/>
    </mc:Choice>
  </mc:AlternateContent>
  <bookViews>
    <workbookView xWindow="0" yWindow="0" windowWidth="28800" windowHeight="12210" activeTab="4"/>
  </bookViews>
  <sheets>
    <sheet name="Ark1" sheetId="1" r:id="rId1"/>
    <sheet name="Sheet2" sheetId="6" r:id="rId2"/>
    <sheet name="Posteringer" sheetId="2" r:id="rId3"/>
    <sheet name="Udgifter" sheetId="5" r:id="rId4"/>
    <sheet name="Indtægter" sheetId="4" r:id="rId5"/>
  </sheets>
  <definedNames>
    <definedName name="EksterneData_1" localSheetId="2" hidden="1">Posteringer!$A$1:$E$51</definedName>
    <definedName name="InputTabel">posteringFil[#All]</definedName>
  </definedNames>
  <calcPr calcId="171027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2" i="2" l="1"/>
  <c r="J501" i="2" l="1"/>
  <c r="O36" i="1"/>
  <c r="N36" i="1"/>
  <c r="M36" i="1"/>
  <c r="L36" i="1"/>
  <c r="K36" i="1"/>
  <c r="H36" i="1"/>
  <c r="G36" i="1"/>
  <c r="F36" i="1"/>
  <c r="E36" i="1"/>
  <c r="D36" i="1"/>
  <c r="C36" i="1"/>
  <c r="J36" i="1"/>
  <c r="I36" i="1"/>
  <c r="E24" i="1" l="1"/>
  <c r="D24" i="1"/>
  <c r="E15" i="1"/>
  <c r="D15" i="1"/>
  <c r="E28" i="1" l="1"/>
  <c r="E37" i="1" s="1"/>
  <c r="D28" i="1"/>
  <c r="D37" i="1" s="1"/>
  <c r="P13" i="1" l="1"/>
  <c r="R13" i="1"/>
  <c r="R9" i="1"/>
  <c r="M15" i="1"/>
  <c r="H15" i="1"/>
  <c r="R7" i="1"/>
  <c r="R6" i="1"/>
  <c r="P6" i="1"/>
  <c r="R12" i="1"/>
  <c r="P9" i="1"/>
  <c r="L15" i="1"/>
  <c r="P12" i="1"/>
  <c r="J15" i="1"/>
  <c r="N15" i="1"/>
  <c r="R8" i="1"/>
  <c r="P8" i="1"/>
  <c r="O15" i="1"/>
  <c r="F15" i="1"/>
  <c r="P5" i="1"/>
  <c r="P15" i="1" s="1"/>
  <c r="R14" i="1"/>
  <c r="K15" i="1"/>
  <c r="R11" i="1"/>
  <c r="P11" i="1"/>
  <c r="Q11" i="1" s="1"/>
  <c r="R10" i="1"/>
  <c r="P10" i="1"/>
  <c r="I15" i="1"/>
  <c r="R5" i="1"/>
  <c r="R15" i="1" s="1"/>
  <c r="G15" i="1"/>
  <c r="P14" i="1"/>
  <c r="Q14" i="1" s="1"/>
  <c r="P7" i="1"/>
  <c r="Q8" i="1" l="1"/>
  <c r="Q13" i="1"/>
  <c r="Q6" i="1"/>
  <c r="Q10" i="1"/>
  <c r="Q9" i="1"/>
  <c r="Q7" i="1"/>
  <c r="Q12" i="1"/>
  <c r="Q5" i="1"/>
  <c r="R23" i="1"/>
  <c r="R20" i="1"/>
  <c r="P19" i="1"/>
  <c r="P24" i="1" s="1"/>
  <c r="R22" i="1"/>
  <c r="P20" i="1"/>
  <c r="R21" i="1"/>
  <c r="P21" i="1"/>
  <c r="Q21" i="1" s="1"/>
  <c r="P23" i="1"/>
  <c r="F24" i="1"/>
  <c r="F28" i="1"/>
  <c r="F37" i="1" s="1"/>
  <c r="H24" i="1"/>
  <c r="H28" i="1" s="1"/>
  <c r="H37" i="1" s="1"/>
  <c r="P22" i="1"/>
  <c r="O24" i="1"/>
  <c r="O28" i="1" s="1"/>
  <c r="G24" i="1"/>
  <c r="G28" i="1" s="1"/>
  <c r="G37" i="1" s="1"/>
  <c r="K24" i="1"/>
  <c r="K28" i="1" s="1"/>
  <c r="K37" i="1" s="1"/>
  <c r="R19" i="1"/>
  <c r="R24" i="1"/>
  <c r="R28" i="1" s="1"/>
  <c r="M24" i="1"/>
  <c r="M28" i="1"/>
  <c r="M37" i="1" s="1"/>
  <c r="J24" i="1"/>
  <c r="J28" i="1"/>
  <c r="J37" i="1" s="1"/>
  <c r="I24" i="1"/>
  <c r="I28" i="1" s="1"/>
  <c r="I37" i="1" s="1"/>
  <c r="N24" i="1"/>
  <c r="N28" i="1" s="1"/>
  <c r="N37" i="1" s="1"/>
  <c r="L24" i="1"/>
  <c r="L28" i="1"/>
  <c r="L37" i="1" s="1"/>
  <c r="Q22" i="1" l="1"/>
  <c r="Q23" i="1"/>
  <c r="P28" i="1"/>
  <c r="Q20" i="1"/>
  <c r="Q19" i="1"/>
</calcChain>
</file>

<file path=xl/comments1.xml><?xml version="1.0" encoding="utf-8"?>
<comments xmlns="http://schemas.openxmlformats.org/spreadsheetml/2006/main">
  <authors>
    <author>Christian Hinge</author>
  </authors>
  <commentList>
    <comment ref="B37" authorId="0" shapeId="0">
      <text>
        <r>
          <rPr>
            <sz val="9"/>
            <color indexed="81"/>
            <rFont val="Tahoma"/>
            <family val="2"/>
          </rPr>
          <t>If there's a positive number, you have more money than what the budget calculated. If it's a negative number, you have less money than what the budget calculated. Add to the category "Unknown" to make all cells equal 0.00.</t>
        </r>
      </text>
    </comment>
  </commentList>
</comments>
</file>

<file path=xl/connections.xml><?xml version="1.0" encoding="utf-8"?>
<connections xmlns="http://schemas.openxmlformats.org/spreadsheetml/2006/main">
  <connection id="1" keepAlive="1" name="Forespørgsel - posteringFil" description="Forbindelse til forespørgslen 'posteringFil' i projektmappen." type="5" refreshedVersion="6" background="1" refreshOnLoad="1" saveData="1">
    <dbPr connection="Provider=Microsoft.Mashup.OleDb.1;Data Source=$Workbook$;Location=posteringFil;Extended Properties=&quot;&quot;" command="SELECT * FROM [posteringFil]"/>
  </connection>
</connections>
</file>

<file path=xl/sharedStrings.xml><?xml version="1.0" encoding="utf-8"?>
<sst xmlns="http://schemas.openxmlformats.org/spreadsheetml/2006/main" count="280" uniqueCount="110">
  <si>
    <t>Beskrivelse</t>
  </si>
  <si>
    <t>Beløb</t>
  </si>
  <si>
    <t>Kategori</t>
  </si>
  <si>
    <t>Dato</t>
  </si>
  <si>
    <t>Type</t>
  </si>
  <si>
    <t>Indtægt</t>
  </si>
  <si>
    <t>Mad</t>
  </si>
  <si>
    <t>Udgift</t>
  </si>
  <si>
    <t>Andet</t>
  </si>
  <si>
    <t>SU</t>
  </si>
  <si>
    <t>Tilfældig postering nr. 0</t>
  </si>
  <si>
    <t>Arbejde</t>
  </si>
  <si>
    <t>Tilfældig postering nr. 1</t>
  </si>
  <si>
    <t>Tilfældig postering nr. 2</t>
  </si>
  <si>
    <t>Skole</t>
  </si>
  <si>
    <t>Tilfældig postering nr. 3</t>
  </si>
  <si>
    <t>Tilfældig postering nr. 4</t>
  </si>
  <si>
    <t>Tilfældig postering nr. 5</t>
  </si>
  <si>
    <t>Gaver I</t>
  </si>
  <si>
    <t>Tilfældig postering nr. 6</t>
  </si>
  <si>
    <t>Tilfældig postering nr. 7</t>
  </si>
  <si>
    <t>Tilfældig postering nr. 8</t>
  </si>
  <si>
    <t>Tilfældig postering nr. 9</t>
  </si>
  <si>
    <t>Tilfældig postering nr. 10</t>
  </si>
  <si>
    <t>Tilfældig postering nr. 11</t>
  </si>
  <si>
    <t>Tøj</t>
  </si>
  <si>
    <t>Tilfældig postering nr. 12</t>
  </si>
  <si>
    <t>Tilfældig postering nr. 13</t>
  </si>
  <si>
    <t>Tilfældig postering nr. 14</t>
  </si>
  <si>
    <t>Gaver</t>
  </si>
  <si>
    <t>Tilfældig postering nr. 15</t>
  </si>
  <si>
    <t>Telefon</t>
  </si>
  <si>
    <t>Tilfældig postering nr. 16</t>
  </si>
  <si>
    <t>Tilfældig postering nr. 17</t>
  </si>
  <si>
    <t>Sjov</t>
  </si>
  <si>
    <t>Tilfældig postering nr. 18</t>
  </si>
  <si>
    <t>Tilfældig postering nr. 19</t>
  </si>
  <si>
    <t>Tilfældig postering nr. 20</t>
  </si>
  <si>
    <t>Tilfældig postering nr. 21</t>
  </si>
  <si>
    <t>Tilfældig postering nr. 22</t>
  </si>
  <si>
    <t>Tilfældig postering nr. 23</t>
  </si>
  <si>
    <t>Tilfældig postering nr. 24</t>
  </si>
  <si>
    <t>Tilfældig postering nr. 25</t>
  </si>
  <si>
    <t>Tilfældig postering nr. 26</t>
  </si>
  <si>
    <t>Tilfældig postering nr. 27</t>
  </si>
  <si>
    <t>Tilfældig postering nr. 28</t>
  </si>
  <si>
    <t>Tilfældig postering nr. 29</t>
  </si>
  <si>
    <t>Tilfældig postering nr. 30</t>
  </si>
  <si>
    <t>Tilfældig postering nr. 31</t>
  </si>
  <si>
    <t>Tilfældig postering nr. 32</t>
  </si>
  <si>
    <t>Tilfældig postering nr. 33</t>
  </si>
  <si>
    <t>Tilfældig postering nr. 34</t>
  </si>
  <si>
    <t>Tilfældig postering nr. 35</t>
  </si>
  <si>
    <t>Tilfældig postering nr. 36</t>
  </si>
  <si>
    <t>Tilfældig postering nr. 37</t>
  </si>
  <si>
    <t>Tilfældig postering nr. 38</t>
  </si>
  <si>
    <t>Tilfældig postering nr. 39</t>
  </si>
  <si>
    <t>Tilfældig postering nr. 40</t>
  </si>
  <si>
    <t>Tilfældig postering nr. 41</t>
  </si>
  <si>
    <t>Tilfældig postering nr. 42</t>
  </si>
  <si>
    <t>Tilfældig postering nr. 43</t>
  </si>
  <si>
    <t>Tilfældig postering nr. 44</t>
  </si>
  <si>
    <t>Tilfældig postering nr. 45</t>
  </si>
  <si>
    <t>Tilfældig postering nr. 46</t>
  </si>
  <si>
    <t>Tilfældig postering nr. 47</t>
  </si>
  <si>
    <t>Tilfældig postering nr. 48</t>
  </si>
  <si>
    <t>Tilfældig postering nr. 49</t>
  </si>
  <si>
    <t>Hverdag</t>
  </si>
  <si>
    <t>Budget 2016</t>
  </si>
  <si>
    <t>Januar</t>
  </si>
  <si>
    <t>Februar</t>
  </si>
  <si>
    <t>Marts</t>
  </si>
  <si>
    <t>April</t>
  </si>
  <si>
    <t>Maj</t>
  </si>
  <si>
    <t>Juni</t>
  </si>
  <si>
    <t>Juli</t>
  </si>
  <si>
    <t>August</t>
  </si>
  <si>
    <t>September</t>
  </si>
  <si>
    <t>Oktober</t>
  </si>
  <si>
    <t>November</t>
  </si>
  <si>
    <t>December</t>
  </si>
  <si>
    <t>Total</t>
  </si>
  <si>
    <t>Procent</t>
  </si>
  <si>
    <t>Genm. Måned</t>
  </si>
  <si>
    <t>Ting til tilbagebetaling</t>
  </si>
  <si>
    <t>N/A</t>
  </si>
  <si>
    <t>Tilbagebetaling</t>
  </si>
  <si>
    <t>Overskud</t>
  </si>
  <si>
    <t>Penge</t>
  </si>
  <si>
    <t>i slutningen af…</t>
  </si>
  <si>
    <t>Bank</t>
  </si>
  <si>
    <t>Master</t>
  </si>
  <si>
    <t>Paypal</t>
  </si>
  <si>
    <t>Cash</t>
  </si>
  <si>
    <t>Forskel</t>
  </si>
  <si>
    <t>Andet / store køb</t>
  </si>
  <si>
    <t>Row Labels</t>
  </si>
  <si>
    <t>Grand Total</t>
  </si>
  <si>
    <t>Sum of Beløb</t>
  </si>
  <si>
    <t>jan</t>
  </si>
  <si>
    <t>mar</t>
  </si>
  <si>
    <t>apr</t>
  </si>
  <si>
    <t>maj</t>
  </si>
  <si>
    <t>jun</t>
  </si>
  <si>
    <t>jul</t>
  </si>
  <si>
    <t>aug</t>
  </si>
  <si>
    <t>Column Labels</t>
  </si>
  <si>
    <t>321</t>
  </si>
  <si>
    <t>Løn</t>
  </si>
  <si>
    <t>hej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</si>
</sst>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[$kr.-406]\ * #,##0.00_ ;_ [$kr.-406]\ * \-#,##0.00_ ;_ [$kr.-406]\ * &quot;-&quot;??_ ;_ @_ 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rgb="FF00CBD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rgb="FFD529BC"/>
      <name val="Calibri"/>
      <family val="2"/>
      <scheme val="minor"/>
    </font>
    <font>
      <sz val="36"/>
      <color rgb="FF212121"/>
      <name val="Arial"/>
      <family val="2"/>
    </font>
    <font>
      <sz val="8"/>
      <color rgb="FF000000"/>
      <name val="Verdana"/>
      <family val="2"/>
    </font>
    <font>
      <sz val="9"/>
      <color indexed="81"/>
      <name val="Tahoma"/>
      <family val="2"/>
    </font>
    <font>
      <sz val="11"/>
      <color rgb="FF272727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00CBD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NumberFormat="1"/>
    <xf numFmtId="22" fontId="0" fillId="0" borderId="0" xfId="0" applyNumberFormat="1"/>
    <xf numFmtId="2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3" fillId="0" borderId="2" xfId="0" applyFont="1" applyBorder="1"/>
    <xf numFmtId="0" fontId="4" fillId="0" borderId="2" xfId="0" applyFont="1" applyBorder="1"/>
    <xf numFmtId="0" fontId="0" fillId="0" borderId="0" xfId="0" applyBorder="1"/>
    <xf numFmtId="0" fontId="5" fillId="0" borderId="0" xfId="0" applyFont="1" applyBorder="1" applyAlignment="1">
      <alignment wrapText="1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14" fontId="7" fillId="0" borderId="0" xfId="0" applyNumberFormat="1" applyFont="1" applyFill="1" applyBorder="1"/>
    <xf numFmtId="164" fontId="0" fillId="0" borderId="2" xfId="0" applyNumberFormat="1" applyFill="1" applyBorder="1" applyAlignment="1">
      <alignment horizontal="center"/>
    </xf>
    <xf numFmtId="164" fontId="8" fillId="0" borderId="2" xfId="0" applyNumberFormat="1" applyFont="1" applyFill="1" applyBorder="1" applyAlignment="1">
      <alignment horizontal="center"/>
    </xf>
    <xf numFmtId="9" fontId="0" fillId="0" borderId="2" xfId="1" applyFont="1" applyBorder="1"/>
    <xf numFmtId="164" fontId="0" fillId="0" borderId="2" xfId="0" applyNumberFormat="1" applyBorder="1"/>
    <xf numFmtId="0" fontId="0" fillId="0" borderId="0" xfId="0" applyFill="1" applyBorder="1"/>
    <xf numFmtId="164" fontId="0" fillId="0" borderId="2" xfId="0" applyNumberFormat="1" applyBorder="1" applyAlignment="1">
      <alignment horizontal="center"/>
    </xf>
    <xf numFmtId="9" fontId="0" fillId="0" borderId="2" xfId="1" applyFont="1" applyBorder="1" applyAlignment="1">
      <alignment horizontal="right"/>
    </xf>
    <xf numFmtId="164" fontId="0" fillId="0" borderId="2" xfId="1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3" fillId="0" borderId="4" xfId="0" applyFont="1" applyFill="1" applyBorder="1"/>
    <xf numFmtId="0" fontId="9" fillId="0" borderId="4" xfId="0" applyFont="1" applyBorder="1"/>
    <xf numFmtId="0" fontId="0" fillId="0" borderId="2" xfId="0" applyBorder="1" applyAlignment="1">
      <alignment horizontal="right"/>
    </xf>
    <xf numFmtId="164" fontId="0" fillId="0" borderId="2" xfId="1" applyNumberFormat="1" applyFont="1" applyBorder="1" applyAlignment="1">
      <alignment horizontal="center"/>
    </xf>
    <xf numFmtId="0" fontId="3" fillId="0" borderId="4" xfId="0" applyFont="1" applyBorder="1"/>
    <xf numFmtId="0" fontId="0" fillId="0" borderId="4" xfId="0" applyBorder="1"/>
    <xf numFmtId="0" fontId="0" fillId="2" borderId="5" xfId="0" applyFont="1" applyFill="1" applyBorder="1" applyAlignment="1">
      <alignment horizontal="center"/>
    </xf>
    <xf numFmtId="164" fontId="0" fillId="0" borderId="2" xfId="0" applyNumberFormat="1" applyFill="1" applyBorder="1" applyAlignment="1"/>
    <xf numFmtId="164" fontId="8" fillId="0" borderId="4" xfId="0" applyNumberFormat="1" applyFont="1" applyFill="1" applyBorder="1" applyAlignment="1"/>
    <xf numFmtId="0" fontId="0" fillId="0" borderId="0" xfId="0" applyFill="1"/>
    <xf numFmtId="0" fontId="6" fillId="2" borderId="3" xfId="0" applyFont="1" applyFill="1" applyBorder="1" applyAlignment="1">
      <alignment horizontal="center"/>
    </xf>
    <xf numFmtId="0" fontId="10" fillId="0" borderId="0" xfId="0" applyFont="1" applyFill="1" applyBorder="1"/>
    <xf numFmtId="164" fontId="7" fillId="0" borderId="2" xfId="0" applyNumberFormat="1" applyFont="1" applyFill="1" applyBorder="1" applyAlignment="1">
      <alignment horizontal="center"/>
    </xf>
    <xf numFmtId="164" fontId="10" fillId="0" borderId="0" xfId="0" applyNumberFormat="1" applyFont="1" applyFill="1" applyBorder="1"/>
    <xf numFmtId="0" fontId="10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horizontal="left" vertical="center" indent="1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1" fillId="0" borderId="0" xfId="0" quotePrefix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5">
    <dxf>
      <numFmt numFmtId="0" formatCode="General"/>
    </dxf>
    <dxf>
      <numFmt numFmtId="27" formatCode="m/d/yyyy\ h:mm"/>
    </dxf>
    <dxf>
      <numFmt numFmtId="0" formatCode="General"/>
    </dxf>
    <dxf>
      <numFmt numFmtId="2" formatCode="0.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ristian Hinge" refreshedDate="42596.013264583336" createdVersion="6" refreshedVersion="6" minRefreshableVersion="3" recordCount="50">
  <cacheSource type="worksheet">
    <worksheetSource name="posteringFil"/>
  </cacheSource>
  <cacheFields count="6">
    <cacheField name="Beskrivelse" numFmtId="0">
      <sharedItems/>
    </cacheField>
    <cacheField name="Beløb" numFmtId="2">
      <sharedItems containsSemiMixedTypes="0" containsString="0" containsNumber="1" containsInteger="1" minValue="18" maxValue="1950"/>
    </cacheField>
    <cacheField name="Kategori" numFmtId="0">
      <sharedItems count="17">
        <s v="Mad"/>
        <s v="321"/>
        <s v="Løn"/>
        <s v="hej"/>
        <s v="Tøj" u="1"/>
        <s v="Skole" u="1"/>
        <s v="Andet" u="1"/>
        <s v="Gaver I" u="1"/>
        <s v="ny" u="1"/>
        <s v="SU" u="1"/>
        <s v="Hverdag" u="1"/>
        <s v="Sjov" u="1"/>
        <s v="Abonnementer" u="1"/>
        <s v="Arbejde" u="1"/>
        <s v="Telefon" u="1"/>
        <s v="Andet / Store Køb" u="1"/>
        <s v="Gaver" u="1"/>
      </sharedItems>
    </cacheField>
    <cacheField name="Dato" numFmtId="22">
      <sharedItems containsSemiMixedTypes="0" containsNonDate="0" containsDate="1" containsString="0" minDate="2016-01-14T00:00:00" maxDate="2016-08-03T00:00:00" count="9">
        <d v="2016-01-27T00:00:00"/>
        <d v="2016-08-02T00:00:00"/>
        <d v="2016-03-11T00:00:00"/>
        <d v="2016-05-30T00:00:00"/>
        <d v="2016-04-24T00:00:00"/>
        <d v="2016-07-13T00:00:00"/>
        <d v="2016-06-06T00:00:00"/>
        <d v="2016-01-14T00:00:00"/>
        <d v="2016-04-04T00:00:00"/>
      </sharedItems>
      <fieldGroup par="5" base="3">
        <rangePr groupBy="days" startDate="2016-01-14T00:00:00" endDate="2016-08-03T00:00:00"/>
        <groupItems count="368">
          <s v="&lt;14-01-2016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j"/>
          <s v="02-maj"/>
          <s v="03-maj"/>
          <s v="04-maj"/>
          <s v="05-maj"/>
          <s v="06-maj"/>
          <s v="07-maj"/>
          <s v="08-maj"/>
          <s v="09-maj"/>
          <s v="10-maj"/>
          <s v="11-maj"/>
          <s v="12-maj"/>
          <s v="13-maj"/>
          <s v="14-maj"/>
          <s v="15-maj"/>
          <s v="16-maj"/>
          <s v="17-maj"/>
          <s v="18-maj"/>
          <s v="19-maj"/>
          <s v="20-maj"/>
          <s v="21-maj"/>
          <s v="22-maj"/>
          <s v="23-maj"/>
          <s v="24-maj"/>
          <s v="25-maj"/>
          <s v="26-maj"/>
          <s v="27-maj"/>
          <s v="28-maj"/>
          <s v="29-maj"/>
          <s v="30-maj"/>
          <s v="31-maj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kt"/>
          <s v="02-okt"/>
          <s v="03-okt"/>
          <s v="04-okt"/>
          <s v="05-okt"/>
          <s v="06-okt"/>
          <s v="07-okt"/>
          <s v="08-okt"/>
          <s v="09-okt"/>
          <s v="10-okt"/>
          <s v="11-okt"/>
          <s v="12-okt"/>
          <s v="13-okt"/>
          <s v="14-okt"/>
          <s v="15-okt"/>
          <s v="16-okt"/>
          <s v="17-okt"/>
          <s v="18-okt"/>
          <s v="19-okt"/>
          <s v="20-okt"/>
          <s v="21-okt"/>
          <s v="22-okt"/>
          <s v="23-okt"/>
          <s v="24-okt"/>
          <s v="25-okt"/>
          <s v="26-okt"/>
          <s v="27-okt"/>
          <s v="28-okt"/>
          <s v="29-okt"/>
          <s v="30-okt"/>
          <s v="31-ok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3-08-2016"/>
        </groupItems>
      </fieldGroup>
    </cacheField>
    <cacheField name="Type" numFmtId="0">
      <sharedItems count="2">
        <s v="Indtægt"/>
        <s v="Udgift"/>
      </sharedItems>
    </cacheField>
    <cacheField name="Months" numFmtId="0" databaseField="0">
      <fieldGroup base="3">
        <rangePr groupBy="months" startDate="2016-01-14T00:00:00" endDate="2016-08-03T00:00:00"/>
        <groupItems count="14">
          <s v="&lt;14-01-2016"/>
          <s v="jan"/>
          <s v="feb"/>
          <s v="mar"/>
          <s v="apr"/>
          <s v="maj"/>
          <s v="jun"/>
          <s v="jul"/>
          <s v="aug"/>
          <s v="sep"/>
          <s v="okt"/>
          <s v="nov"/>
          <s v="dec"/>
          <s v="&gt;03-08-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Tilfældig postering nr. 0"/>
    <n v="1582"/>
    <x v="0"/>
    <x v="0"/>
    <x v="0"/>
  </r>
  <r>
    <s v="Tilfældig postering nr. 1"/>
    <n v="1684"/>
    <x v="1"/>
    <x v="0"/>
    <x v="1"/>
  </r>
  <r>
    <s v="Tilfældig postering nr. 2"/>
    <n v="1861"/>
    <x v="2"/>
    <x v="0"/>
    <x v="0"/>
  </r>
  <r>
    <s v="Tilfældig postering nr. 3"/>
    <n v="1929"/>
    <x v="3"/>
    <x v="0"/>
    <x v="1"/>
  </r>
  <r>
    <s v="Tilfældig postering nr. 4"/>
    <n v="1822"/>
    <x v="0"/>
    <x v="0"/>
    <x v="0"/>
  </r>
  <r>
    <s v="Tilfældig postering nr. 5"/>
    <n v="1060"/>
    <x v="2"/>
    <x v="0"/>
    <x v="0"/>
  </r>
  <r>
    <s v="Tilfældig postering nr. 6"/>
    <n v="959"/>
    <x v="2"/>
    <x v="0"/>
    <x v="0"/>
  </r>
  <r>
    <s v="Tilfældig postering nr. 7"/>
    <n v="157"/>
    <x v="1"/>
    <x v="1"/>
    <x v="1"/>
  </r>
  <r>
    <s v="Tilfældig postering nr. 8"/>
    <n v="1517"/>
    <x v="1"/>
    <x v="1"/>
    <x v="1"/>
  </r>
  <r>
    <s v="Tilfældig postering nr. 9"/>
    <n v="1629"/>
    <x v="0"/>
    <x v="1"/>
    <x v="0"/>
  </r>
  <r>
    <s v="Tilfældig postering nr. 10"/>
    <n v="235"/>
    <x v="3"/>
    <x v="1"/>
    <x v="1"/>
  </r>
  <r>
    <s v="Tilfældig postering nr. 11"/>
    <n v="98"/>
    <x v="0"/>
    <x v="1"/>
    <x v="0"/>
  </r>
  <r>
    <s v="Tilfældig postering nr. 12"/>
    <n v="706"/>
    <x v="0"/>
    <x v="1"/>
    <x v="0"/>
  </r>
  <r>
    <s v="Tilfældig postering nr. 13"/>
    <n v="888"/>
    <x v="3"/>
    <x v="2"/>
    <x v="1"/>
  </r>
  <r>
    <s v="Tilfældig postering nr. 14"/>
    <n v="810"/>
    <x v="3"/>
    <x v="2"/>
    <x v="1"/>
  </r>
  <r>
    <s v="Tilfældig postering nr. 15"/>
    <n v="705"/>
    <x v="1"/>
    <x v="2"/>
    <x v="1"/>
  </r>
  <r>
    <s v="Tilfældig postering nr. 16"/>
    <n v="1717"/>
    <x v="0"/>
    <x v="2"/>
    <x v="0"/>
  </r>
  <r>
    <s v="Tilfældig postering nr. 17"/>
    <n v="18"/>
    <x v="2"/>
    <x v="2"/>
    <x v="0"/>
  </r>
  <r>
    <s v="Tilfældig postering nr. 18"/>
    <n v="1227"/>
    <x v="2"/>
    <x v="2"/>
    <x v="0"/>
  </r>
  <r>
    <s v="Tilfældig postering nr. 19"/>
    <n v="1600"/>
    <x v="3"/>
    <x v="2"/>
    <x v="1"/>
  </r>
  <r>
    <s v="Tilfældig postering nr. 20"/>
    <n v="315"/>
    <x v="3"/>
    <x v="3"/>
    <x v="1"/>
  </r>
  <r>
    <s v="Tilfældig postering nr. 21"/>
    <n v="267"/>
    <x v="3"/>
    <x v="3"/>
    <x v="1"/>
  </r>
  <r>
    <s v="Tilfældig postering nr. 22"/>
    <n v="1170"/>
    <x v="3"/>
    <x v="3"/>
    <x v="1"/>
  </r>
  <r>
    <s v="Tilfældig postering nr. 23"/>
    <n v="1928"/>
    <x v="2"/>
    <x v="3"/>
    <x v="0"/>
  </r>
  <r>
    <s v="Tilfældig postering nr. 24"/>
    <n v="906"/>
    <x v="1"/>
    <x v="3"/>
    <x v="1"/>
  </r>
  <r>
    <s v="Tilfældig postering nr. 25"/>
    <n v="1228"/>
    <x v="3"/>
    <x v="3"/>
    <x v="1"/>
  </r>
  <r>
    <s v="Tilfældig postering nr. 26"/>
    <n v="1803"/>
    <x v="3"/>
    <x v="4"/>
    <x v="1"/>
  </r>
  <r>
    <s v="Tilfældig postering nr. 27"/>
    <n v="1835"/>
    <x v="0"/>
    <x v="4"/>
    <x v="0"/>
  </r>
  <r>
    <s v="Tilfældig postering nr. 28"/>
    <n v="399"/>
    <x v="2"/>
    <x v="4"/>
    <x v="0"/>
  </r>
  <r>
    <s v="Tilfældig postering nr. 29"/>
    <n v="204"/>
    <x v="2"/>
    <x v="4"/>
    <x v="0"/>
  </r>
  <r>
    <s v="Tilfældig postering nr. 30"/>
    <n v="687"/>
    <x v="3"/>
    <x v="4"/>
    <x v="1"/>
  </r>
  <r>
    <s v="Tilfældig postering nr. 31"/>
    <n v="1406"/>
    <x v="0"/>
    <x v="4"/>
    <x v="0"/>
  </r>
  <r>
    <s v="Tilfældig postering nr. 32"/>
    <n v="1299"/>
    <x v="0"/>
    <x v="5"/>
    <x v="0"/>
  </r>
  <r>
    <s v="Tilfældig postering nr. 33"/>
    <n v="131"/>
    <x v="3"/>
    <x v="5"/>
    <x v="1"/>
  </r>
  <r>
    <s v="Tilfældig postering nr. 34"/>
    <n v="1454"/>
    <x v="3"/>
    <x v="5"/>
    <x v="1"/>
  </r>
  <r>
    <s v="Tilfældig postering nr. 35"/>
    <n v="189"/>
    <x v="0"/>
    <x v="5"/>
    <x v="0"/>
  </r>
  <r>
    <s v="Tilfældig postering nr. 36"/>
    <n v="1950"/>
    <x v="3"/>
    <x v="6"/>
    <x v="1"/>
  </r>
  <r>
    <s v="Tilfældig postering nr. 37"/>
    <n v="999"/>
    <x v="3"/>
    <x v="6"/>
    <x v="1"/>
  </r>
  <r>
    <s v="Tilfældig postering nr. 38"/>
    <n v="1939"/>
    <x v="2"/>
    <x v="6"/>
    <x v="0"/>
  </r>
  <r>
    <s v="Tilfældig postering nr. 39"/>
    <n v="1699"/>
    <x v="0"/>
    <x v="6"/>
    <x v="0"/>
  </r>
  <r>
    <s v="Tilfældig postering nr. 40"/>
    <n v="230"/>
    <x v="2"/>
    <x v="6"/>
    <x v="0"/>
  </r>
  <r>
    <s v="Tilfældig postering nr. 41"/>
    <n v="357"/>
    <x v="1"/>
    <x v="6"/>
    <x v="1"/>
  </r>
  <r>
    <s v="Tilfældig postering nr. 42"/>
    <n v="852"/>
    <x v="1"/>
    <x v="7"/>
    <x v="1"/>
  </r>
  <r>
    <s v="Tilfældig postering nr. 43"/>
    <n v="1355"/>
    <x v="2"/>
    <x v="7"/>
    <x v="0"/>
  </r>
  <r>
    <s v="Tilfældig postering nr. 44"/>
    <n v="970"/>
    <x v="3"/>
    <x v="7"/>
    <x v="1"/>
  </r>
  <r>
    <s v="Tilfældig postering nr. 45"/>
    <n v="1816"/>
    <x v="0"/>
    <x v="7"/>
    <x v="0"/>
  </r>
  <r>
    <s v="Tilfældig postering nr. 46"/>
    <n v="181"/>
    <x v="3"/>
    <x v="7"/>
    <x v="1"/>
  </r>
  <r>
    <s v="Tilfældig postering nr. 47"/>
    <n v="480"/>
    <x v="3"/>
    <x v="8"/>
    <x v="1"/>
  </r>
  <r>
    <s v="Tilfældig postering nr. 48"/>
    <n v="399"/>
    <x v="3"/>
    <x v="8"/>
    <x v="1"/>
  </r>
  <r>
    <s v="Tilfældig postering nr. 49"/>
    <n v="627"/>
    <x v="3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I7" firstHeaderRow="1" firstDataRow="2" firstDataCol="1" rowPageCount="1" colPageCount="1"/>
  <pivotFields count="6">
    <pivotField showAll="0"/>
    <pivotField dataField="1" numFmtId="2" showAll="0"/>
    <pivotField axis="axisRow" showAll="0">
      <items count="18">
        <item x="1"/>
        <item m="1" x="12"/>
        <item m="1" x="6"/>
        <item m="1" x="15"/>
        <item m="1" x="13"/>
        <item m="1" x="16"/>
        <item m="1" x="7"/>
        <item x="3"/>
        <item m="1" x="10"/>
        <item x="2"/>
        <item x="0"/>
        <item m="1" x="8"/>
        <item m="1" x="11"/>
        <item m="1" x="5"/>
        <item m="1" x="9"/>
        <item m="1" x="14"/>
        <item m="1" x="4"/>
        <item t="default"/>
      </items>
    </pivotField>
    <pivotField numFmtId="22" showAll="0"/>
    <pivotField axis="axisPage" showAll="0">
      <items count="3">
        <item x="0"/>
        <item x="1"/>
        <item t="default"/>
      </items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3">
    <i>
      <x/>
    </i>
    <i>
      <x v="7"/>
    </i>
    <i t="grand">
      <x/>
    </i>
  </rowItems>
  <colFields count="1">
    <field x="5"/>
  </colFields>
  <colItems count="8">
    <i>
      <x v="1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4" item="1" hier="-1"/>
  </pageFields>
  <dataFields count="1">
    <dataField name="Sum of Beløb" fld="1" baseField="0" baseItem="0"/>
  </dataFields>
  <chartFormats count="7">
    <chartFormat chart="0" format="0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I7" firstHeaderRow="1" firstDataRow="2" firstDataCol="1" rowPageCount="1" colPageCount="1"/>
  <pivotFields count="6">
    <pivotField showAll="0"/>
    <pivotField dataField="1" numFmtId="2" showAll="0"/>
    <pivotField axis="axisRow" showAll="0">
      <items count="18">
        <item x="1"/>
        <item m="1" x="12"/>
        <item m="1" x="6"/>
        <item m="1" x="15"/>
        <item m="1" x="13"/>
        <item m="1" x="16"/>
        <item m="1" x="7"/>
        <item x="3"/>
        <item m="1" x="10"/>
        <item x="2"/>
        <item x="0"/>
        <item m="1" x="8"/>
        <item m="1" x="11"/>
        <item m="1" x="5"/>
        <item m="1" x="9"/>
        <item m="1" x="14"/>
        <item m="1" x="4"/>
        <item t="default"/>
      </items>
    </pivotField>
    <pivotField numFmtId="22" showAll="0"/>
    <pivotField axis="axisPage" multipleItemSelectionAllowed="1" showAll="0">
      <items count="3">
        <item x="0"/>
        <item h="1" x="1"/>
        <item t="default"/>
      </items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3">
    <i>
      <x v="9"/>
    </i>
    <i>
      <x v="10"/>
    </i>
    <i t="grand">
      <x/>
    </i>
  </rowItems>
  <colFields count="1">
    <field x="5"/>
  </colFields>
  <colItems count="8">
    <i>
      <x v="1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4" hier="-1"/>
  </pageFields>
  <dataFields count="1">
    <dataField name="Sum of Beløb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ksterneData_1" refreshOnLoad="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Beskrivelse" tableColumnId="6"/>
      <queryTableField id="2" name="Beløb" tableColumnId="7"/>
      <queryTableField id="3" name="Kategori" tableColumnId="8"/>
      <queryTableField id="4" name="Dato" tableColumnId="9"/>
      <queryTableField id="5" name="Type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osteringFil" displayName="posteringFil" ref="A1:E52" tableType="queryTable" totalsRowCount="1">
  <autoFilter ref="A1:E51"/>
  <tableColumns count="5">
    <tableColumn id="6" uniqueName="6" name="Beskrivelse" totalsRowLabel="Total" queryTableFieldId="1" dataDxfId="4"/>
    <tableColumn id="7" uniqueName="7" name="Beløb" queryTableFieldId="2" dataDxfId="3"/>
    <tableColumn id="8" uniqueName="8" name="Kategori" queryTableFieldId="3" dataDxfId="2"/>
    <tableColumn id="9" uniqueName="9" name="Dato" queryTableFieldId="4" dataDxfId="1"/>
    <tableColumn id="10" uniqueName="10" name="Type" totalsRowFunction="coun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125"/>
  <sheetViews>
    <sheetView topLeftCell="A13" workbookViewId="0">
      <selection activeCell="R5" sqref="R5"/>
    </sheetView>
  </sheetViews>
  <sheetFormatPr defaultRowHeight="15" x14ac:dyDescent="0.25"/>
  <cols>
    <col min="1" max="1" width="4.42578125" customWidth="1"/>
    <col min="2" max="2" width="11.140625" customWidth="1"/>
    <col min="3" max="3" width="15.7109375" customWidth="1"/>
    <col min="4" max="16" width="14.42578125" customWidth="1"/>
    <col min="17" max="17" width="7.42578125" customWidth="1"/>
    <col min="18" max="18" width="14.28515625" customWidth="1"/>
    <col min="19" max="19" width="11.85546875" customWidth="1"/>
  </cols>
  <sheetData>
    <row r="1" spans="2:19" ht="36" x14ac:dyDescent="0.55000000000000004">
      <c r="B1" s="45" t="s">
        <v>68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</row>
    <row r="2" spans="2:19" ht="6.75" customHeight="1" x14ac:dyDescent="0.25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</row>
    <row r="3" spans="2:19" ht="26.25" customHeight="1" x14ac:dyDescent="0.4">
      <c r="B3" s="7" t="s">
        <v>7</v>
      </c>
      <c r="C3" s="8"/>
      <c r="D3" s="9"/>
      <c r="E3" s="9"/>
      <c r="F3" s="9"/>
      <c r="G3" s="9"/>
      <c r="H3" s="9"/>
      <c r="I3" s="10"/>
      <c r="J3" s="9"/>
      <c r="K3" s="9"/>
      <c r="L3" s="9"/>
      <c r="M3" s="9"/>
      <c r="N3" s="9"/>
      <c r="O3" s="9"/>
      <c r="P3" s="9"/>
    </row>
    <row r="4" spans="2:19" ht="18.75" customHeight="1" x14ac:dyDescent="0.3">
      <c r="B4" s="9"/>
      <c r="C4" s="9"/>
      <c r="D4" s="11" t="s">
        <v>69</v>
      </c>
      <c r="E4" s="12" t="s">
        <v>70</v>
      </c>
      <c r="F4" s="12" t="s">
        <v>71</v>
      </c>
      <c r="G4" s="12" t="s">
        <v>72</v>
      </c>
      <c r="H4" s="12" t="s">
        <v>73</v>
      </c>
      <c r="I4" s="12" t="s">
        <v>74</v>
      </c>
      <c r="J4" s="12" t="s">
        <v>75</v>
      </c>
      <c r="K4" s="12" t="s">
        <v>76</v>
      </c>
      <c r="L4" s="12" t="s">
        <v>77</v>
      </c>
      <c r="M4" s="12" t="s">
        <v>78</v>
      </c>
      <c r="N4" s="12" t="s">
        <v>79</v>
      </c>
      <c r="O4" s="12" t="s">
        <v>80</v>
      </c>
      <c r="P4" s="13" t="s">
        <v>81</v>
      </c>
      <c r="Q4" s="13" t="s">
        <v>82</v>
      </c>
      <c r="R4" s="14" t="s">
        <v>83</v>
      </c>
      <c r="S4" s="15"/>
    </row>
    <row r="5" spans="2:19" x14ac:dyDescent="0.25">
      <c r="B5" s="9" t="s">
        <v>29</v>
      </c>
      <c r="C5" s="9"/>
      <c r="P5" s="17">
        <f t="shared" ref="P5:P14" si="0">D5+E5+F5+G5+H5+I5+J5+K5+L5+M5+N5+O5</f>
        <v>0</v>
      </c>
      <c r="Q5" s="18" t="e">
        <f>P5/P$15</f>
        <v>#DIV/0!</v>
      </c>
      <c r="R5" s="19" t="e">
        <f>AVERAGE(D5:O5)</f>
        <v>#DIV/0!</v>
      </c>
      <c r="S5" s="15"/>
    </row>
    <row r="6" spans="2:19" x14ac:dyDescent="0.25">
      <c r="B6" s="20" t="s">
        <v>95</v>
      </c>
      <c r="C6" s="9"/>
      <c r="P6" s="17">
        <f t="shared" si="0"/>
        <v>0</v>
      </c>
      <c r="Q6" s="18" t="e">
        <f t="shared" ref="Q6:Q14" si="1">P6/P$15</f>
        <v>#DIV/0!</v>
      </c>
      <c r="R6" s="19" t="e">
        <f t="shared" ref="R6:R14" si="2">AVERAGE(D6:O6)</f>
        <v>#DIV/0!</v>
      </c>
      <c r="S6" s="15"/>
    </row>
    <row r="7" spans="2:19" x14ac:dyDescent="0.25">
      <c r="B7" s="9" t="s">
        <v>29</v>
      </c>
      <c r="C7" s="9"/>
      <c r="P7" s="17">
        <f t="shared" si="0"/>
        <v>0</v>
      </c>
      <c r="Q7" s="18" t="e">
        <f t="shared" si="1"/>
        <v>#DIV/0!</v>
      </c>
      <c r="R7" s="19" t="e">
        <f t="shared" si="2"/>
        <v>#DIV/0!</v>
      </c>
      <c r="S7" s="15"/>
    </row>
    <row r="8" spans="2:19" x14ac:dyDescent="0.25">
      <c r="B8" s="9" t="s">
        <v>67</v>
      </c>
      <c r="C8" s="9"/>
      <c r="P8" s="17">
        <f t="shared" si="0"/>
        <v>0</v>
      </c>
      <c r="Q8" s="18" t="e">
        <f t="shared" si="1"/>
        <v>#DIV/0!</v>
      </c>
      <c r="R8" s="19" t="e">
        <f t="shared" si="2"/>
        <v>#DIV/0!</v>
      </c>
      <c r="S8" s="15"/>
    </row>
    <row r="9" spans="2:19" x14ac:dyDescent="0.25">
      <c r="B9" s="9" t="s">
        <v>6</v>
      </c>
      <c r="C9" s="9"/>
      <c r="P9" s="17">
        <f t="shared" si="0"/>
        <v>0</v>
      </c>
      <c r="Q9" s="18" t="e">
        <f t="shared" si="1"/>
        <v>#DIV/0!</v>
      </c>
      <c r="R9" s="19" t="e">
        <f t="shared" si="2"/>
        <v>#DIV/0!</v>
      </c>
      <c r="S9" s="15"/>
    </row>
    <row r="10" spans="2:19" x14ac:dyDescent="0.25">
      <c r="B10" s="20" t="s">
        <v>34</v>
      </c>
      <c r="C10" s="9"/>
      <c r="P10" s="17">
        <f t="shared" si="0"/>
        <v>0</v>
      </c>
      <c r="Q10" s="18" t="e">
        <f t="shared" si="1"/>
        <v>#DIV/0!</v>
      </c>
      <c r="R10" s="19" t="e">
        <f t="shared" si="2"/>
        <v>#DIV/0!</v>
      </c>
      <c r="S10" s="15"/>
    </row>
    <row r="11" spans="2:19" x14ac:dyDescent="0.25">
      <c r="B11" s="9" t="s">
        <v>14</v>
      </c>
      <c r="C11" s="9"/>
      <c r="P11" s="17">
        <f t="shared" si="0"/>
        <v>0</v>
      </c>
      <c r="Q11" s="18" t="e">
        <f t="shared" si="1"/>
        <v>#DIV/0!</v>
      </c>
      <c r="R11" s="19" t="e">
        <f t="shared" si="2"/>
        <v>#DIV/0!</v>
      </c>
      <c r="S11" s="15"/>
    </row>
    <row r="12" spans="2:19" x14ac:dyDescent="0.25">
      <c r="B12" s="20" t="s">
        <v>31</v>
      </c>
      <c r="C12" s="9"/>
      <c r="P12" s="17">
        <f t="shared" si="0"/>
        <v>0</v>
      </c>
      <c r="Q12" s="18" t="e">
        <f t="shared" si="1"/>
        <v>#DIV/0!</v>
      </c>
      <c r="R12" s="19" t="e">
        <f t="shared" si="2"/>
        <v>#DIV/0!</v>
      </c>
      <c r="S12" s="15"/>
    </row>
    <row r="13" spans="2:19" ht="15" customHeight="1" x14ac:dyDescent="0.25">
      <c r="B13" s="20" t="s">
        <v>84</v>
      </c>
      <c r="C13" s="9"/>
      <c r="P13" s="17">
        <f t="shared" si="0"/>
        <v>0</v>
      </c>
      <c r="Q13" s="18" t="e">
        <f t="shared" si="1"/>
        <v>#DIV/0!</v>
      </c>
      <c r="R13" s="19" t="e">
        <f t="shared" si="2"/>
        <v>#DIV/0!</v>
      </c>
      <c r="S13" s="15"/>
    </row>
    <row r="14" spans="2:19" ht="15" customHeight="1" x14ac:dyDescent="0.25">
      <c r="B14" s="9" t="s">
        <v>25</v>
      </c>
      <c r="C14" s="9"/>
      <c r="P14" s="17">
        <f t="shared" si="0"/>
        <v>0</v>
      </c>
      <c r="Q14" s="18" t="e">
        <f t="shared" si="1"/>
        <v>#DIV/0!</v>
      </c>
      <c r="R14" s="19" t="e">
        <f t="shared" si="2"/>
        <v>#DIV/0!</v>
      </c>
      <c r="S14" s="15"/>
    </row>
    <row r="15" spans="2:19" x14ac:dyDescent="0.25">
      <c r="B15" s="9"/>
      <c r="C15" s="9" t="s">
        <v>81</v>
      </c>
      <c r="D15" s="21">
        <f t="shared" ref="D15:P15" si="3">SUM(D5:D14)</f>
        <v>0</v>
      </c>
      <c r="E15" s="21">
        <f t="shared" si="3"/>
        <v>0</v>
      </c>
      <c r="F15" s="21">
        <f t="shared" si="3"/>
        <v>0</v>
      </c>
      <c r="G15" s="21">
        <f t="shared" si="3"/>
        <v>0</v>
      </c>
      <c r="H15" s="21">
        <f t="shared" si="3"/>
        <v>0</v>
      </c>
      <c r="I15" s="21">
        <f t="shared" si="3"/>
        <v>0</v>
      </c>
      <c r="J15" s="21">
        <f t="shared" si="3"/>
        <v>0</v>
      </c>
      <c r="K15" s="21">
        <f t="shared" si="3"/>
        <v>0</v>
      </c>
      <c r="L15" s="21">
        <f t="shared" si="3"/>
        <v>0</v>
      </c>
      <c r="M15" s="21">
        <f t="shared" si="3"/>
        <v>0</v>
      </c>
      <c r="N15" s="21">
        <f t="shared" si="3"/>
        <v>0</v>
      </c>
      <c r="O15" s="21">
        <f t="shared" si="3"/>
        <v>0</v>
      </c>
      <c r="P15" s="17">
        <f t="shared" si="3"/>
        <v>0</v>
      </c>
      <c r="Q15" s="22" t="s">
        <v>85</v>
      </c>
      <c r="R15" s="23" t="e">
        <f>SUM(R5:R14)</f>
        <v>#DIV/0!</v>
      </c>
      <c r="S15" s="15"/>
    </row>
    <row r="16" spans="2:19" x14ac:dyDescent="0.25">
      <c r="B16" s="9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S16" s="15"/>
    </row>
    <row r="17" spans="2:19" ht="26.25" x14ac:dyDescent="0.4">
      <c r="B17" s="25" t="s">
        <v>5</v>
      </c>
      <c r="C17" s="26"/>
      <c r="S17" s="15"/>
    </row>
    <row r="18" spans="2:19" ht="18.75" x14ac:dyDescent="0.3">
      <c r="D18" s="11" t="s">
        <v>69</v>
      </c>
      <c r="E18" s="12" t="s">
        <v>70</v>
      </c>
      <c r="F18" s="12" t="s">
        <v>71</v>
      </c>
      <c r="G18" s="12" t="s">
        <v>72</v>
      </c>
      <c r="H18" s="12" t="s">
        <v>73</v>
      </c>
      <c r="I18" s="12" t="s">
        <v>74</v>
      </c>
      <c r="J18" s="12" t="s">
        <v>75</v>
      </c>
      <c r="K18" s="12" t="s">
        <v>76</v>
      </c>
      <c r="L18" s="12" t="s">
        <v>77</v>
      </c>
      <c r="M18" s="12" t="s">
        <v>78</v>
      </c>
      <c r="N18" s="12" t="s">
        <v>79</v>
      </c>
      <c r="O18" s="12" t="s">
        <v>80</v>
      </c>
      <c r="P18" s="13" t="s">
        <v>81</v>
      </c>
      <c r="Q18" s="13" t="s">
        <v>82</v>
      </c>
      <c r="R18" s="14" t="s">
        <v>83</v>
      </c>
      <c r="S18" s="15"/>
    </row>
    <row r="19" spans="2:19" x14ac:dyDescent="0.25">
      <c r="B19" t="s">
        <v>8</v>
      </c>
      <c r="P19" s="17">
        <f t="shared" ref="P19:P23" si="4">SUM(D19:O19)</f>
        <v>0</v>
      </c>
      <c r="Q19" s="18" t="e">
        <f>P19/P$24</f>
        <v>#DIV/0!</v>
      </c>
      <c r="R19" s="19" t="e">
        <f>AVERAGE(D19:O19)</f>
        <v>#DIV/0!</v>
      </c>
      <c r="S19" s="15"/>
    </row>
    <row r="20" spans="2:19" x14ac:dyDescent="0.25">
      <c r="B20" t="s">
        <v>11</v>
      </c>
      <c r="P20" s="17">
        <f t="shared" si="4"/>
        <v>0</v>
      </c>
      <c r="Q20" s="18" t="e">
        <f t="shared" ref="Q20:Q23" si="5">P20/P$24</f>
        <v>#DIV/0!</v>
      </c>
      <c r="R20" s="19" t="e">
        <f t="shared" ref="R20:R23" si="6">AVERAGE(D20:O20)</f>
        <v>#DIV/0!</v>
      </c>
      <c r="S20" s="15"/>
    </row>
    <row r="21" spans="2:19" x14ac:dyDescent="0.25">
      <c r="B21" t="s">
        <v>18</v>
      </c>
      <c r="P21" s="17">
        <f t="shared" si="4"/>
        <v>0</v>
      </c>
      <c r="Q21" s="18" t="e">
        <f t="shared" si="5"/>
        <v>#DIV/0!</v>
      </c>
      <c r="R21" s="19" t="e">
        <f t="shared" si="6"/>
        <v>#DIV/0!</v>
      </c>
      <c r="S21" s="15"/>
    </row>
    <row r="22" spans="2:19" x14ac:dyDescent="0.25">
      <c r="B22" t="s">
        <v>9</v>
      </c>
      <c r="P22" s="17">
        <f t="shared" si="4"/>
        <v>0</v>
      </c>
      <c r="Q22" s="18" t="e">
        <f t="shared" si="5"/>
        <v>#DIV/0!</v>
      </c>
      <c r="R22" s="19" t="e">
        <f t="shared" si="6"/>
        <v>#DIV/0!</v>
      </c>
      <c r="S22" s="15"/>
    </row>
    <row r="23" spans="2:19" x14ac:dyDescent="0.25">
      <c r="B23" t="s">
        <v>86</v>
      </c>
      <c r="P23" s="17">
        <f t="shared" si="4"/>
        <v>0</v>
      </c>
      <c r="Q23" s="18" t="e">
        <f t="shared" si="5"/>
        <v>#DIV/0!</v>
      </c>
      <c r="R23" s="19" t="e">
        <f t="shared" si="6"/>
        <v>#DIV/0!</v>
      </c>
      <c r="S23" s="15"/>
    </row>
    <row r="24" spans="2:19" x14ac:dyDescent="0.25">
      <c r="C24" t="s">
        <v>81</v>
      </c>
      <c r="D24" s="16">
        <f t="shared" ref="D24:P24" si="7">SUM(D19:D23)</f>
        <v>0</v>
      </c>
      <c r="E24" s="16">
        <f t="shared" si="7"/>
        <v>0</v>
      </c>
      <c r="F24" s="16">
        <f t="shared" si="7"/>
        <v>0</v>
      </c>
      <c r="G24" s="16">
        <f t="shared" si="7"/>
        <v>0</v>
      </c>
      <c r="H24" s="16">
        <f t="shared" si="7"/>
        <v>0</v>
      </c>
      <c r="I24" s="16">
        <f t="shared" si="7"/>
        <v>0</v>
      </c>
      <c r="J24" s="16">
        <f t="shared" si="7"/>
        <v>0</v>
      </c>
      <c r="K24" s="16">
        <f t="shared" si="7"/>
        <v>0</v>
      </c>
      <c r="L24" s="16">
        <f t="shared" si="7"/>
        <v>0</v>
      </c>
      <c r="M24" s="16">
        <f t="shared" si="7"/>
        <v>0</v>
      </c>
      <c r="N24" s="16">
        <f t="shared" si="7"/>
        <v>0</v>
      </c>
      <c r="O24" s="16">
        <f t="shared" si="7"/>
        <v>0</v>
      </c>
      <c r="P24" s="17">
        <f t="shared" si="7"/>
        <v>0</v>
      </c>
      <c r="Q24" s="27" t="s">
        <v>85</v>
      </c>
      <c r="R24" s="28" t="e">
        <f>SUM(R19:R23)</f>
        <v>#DIV/0!</v>
      </c>
      <c r="S24" s="15"/>
    </row>
    <row r="25" spans="2:19" x14ac:dyDescent="0.25">
      <c r="S25" s="15"/>
    </row>
    <row r="26" spans="2:19" ht="26.25" x14ac:dyDescent="0.4">
      <c r="B26" s="29" t="s">
        <v>87</v>
      </c>
      <c r="C26" s="30"/>
      <c r="S26" s="15"/>
    </row>
    <row r="27" spans="2:19" ht="18.75" x14ac:dyDescent="0.3">
      <c r="D27" s="11" t="s">
        <v>69</v>
      </c>
      <c r="E27" s="12" t="s">
        <v>70</v>
      </c>
      <c r="F27" s="12" t="s">
        <v>71</v>
      </c>
      <c r="G27" s="12" t="s">
        <v>72</v>
      </c>
      <c r="H27" s="12" t="s">
        <v>73</v>
      </c>
      <c r="I27" s="12" t="s">
        <v>74</v>
      </c>
      <c r="J27" s="12" t="s">
        <v>75</v>
      </c>
      <c r="K27" s="12" t="s">
        <v>76</v>
      </c>
      <c r="L27" s="12" t="s">
        <v>77</v>
      </c>
      <c r="M27" s="12" t="s">
        <v>78</v>
      </c>
      <c r="N27" s="12" t="s">
        <v>79</v>
      </c>
      <c r="O27" s="12" t="s">
        <v>80</v>
      </c>
      <c r="P27" s="14" t="s">
        <v>81</v>
      </c>
      <c r="R27" s="31" t="s">
        <v>83</v>
      </c>
    </row>
    <row r="28" spans="2:19" x14ac:dyDescent="0.25">
      <c r="C28" t="s">
        <v>81</v>
      </c>
      <c r="D28" s="32">
        <f>D24-D15</f>
        <v>0</v>
      </c>
      <c r="E28" s="32">
        <f t="shared" ref="E28:P28" si="8">E24-E15</f>
        <v>0</v>
      </c>
      <c r="F28" s="32">
        <f>F24-F15</f>
        <v>0</v>
      </c>
      <c r="G28" s="32">
        <f>G24-G15</f>
        <v>0</v>
      </c>
      <c r="H28" s="32">
        <f t="shared" si="8"/>
        <v>0</v>
      </c>
      <c r="I28" s="32">
        <f t="shared" si="8"/>
        <v>0</v>
      </c>
      <c r="J28" s="32">
        <f t="shared" si="8"/>
        <v>0</v>
      </c>
      <c r="K28" s="32">
        <f t="shared" si="8"/>
        <v>0</v>
      </c>
      <c r="L28" s="32">
        <f t="shared" si="8"/>
        <v>0</v>
      </c>
      <c r="M28" s="32">
        <f t="shared" si="8"/>
        <v>0</v>
      </c>
      <c r="N28" s="32">
        <f t="shared" si="8"/>
        <v>0</v>
      </c>
      <c r="O28" s="32">
        <f t="shared" si="8"/>
        <v>0</v>
      </c>
      <c r="P28" s="33">
        <f t="shared" si="8"/>
        <v>0</v>
      </c>
      <c r="Q28" s="34"/>
      <c r="R28" s="19" t="e">
        <f>R24-R15</f>
        <v>#DIV/0!</v>
      </c>
    </row>
    <row r="30" spans="2:19" ht="26.25" x14ac:dyDescent="0.4">
      <c r="B30" s="29" t="s">
        <v>88</v>
      </c>
      <c r="C30" s="9" t="s">
        <v>89</v>
      </c>
    </row>
    <row r="31" spans="2:19" ht="18.75" x14ac:dyDescent="0.3">
      <c r="C31" s="11" t="s">
        <v>80</v>
      </c>
      <c r="D31" s="12" t="s">
        <v>69</v>
      </c>
      <c r="E31" s="12" t="s">
        <v>70</v>
      </c>
      <c r="F31" s="12" t="s">
        <v>71</v>
      </c>
      <c r="G31" s="12" t="s">
        <v>72</v>
      </c>
      <c r="H31" s="12" t="s">
        <v>73</v>
      </c>
      <c r="I31" s="12" t="s">
        <v>74</v>
      </c>
      <c r="J31" s="12" t="s">
        <v>75</v>
      </c>
      <c r="K31" s="12" t="s">
        <v>76</v>
      </c>
      <c r="L31" s="12" t="s">
        <v>77</v>
      </c>
      <c r="M31" s="12" t="s">
        <v>78</v>
      </c>
      <c r="N31" s="12" t="s">
        <v>79</v>
      </c>
      <c r="O31" s="35" t="s">
        <v>80</v>
      </c>
      <c r="P31" s="20"/>
    </row>
    <row r="32" spans="2:19" x14ac:dyDescent="0.25">
      <c r="B32" t="s">
        <v>90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36"/>
    </row>
    <row r="33" spans="2:18" x14ac:dyDescent="0.25">
      <c r="B33" t="s">
        <v>91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8"/>
    </row>
    <row r="34" spans="2:18" x14ac:dyDescent="0.25">
      <c r="B34" t="s">
        <v>92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6"/>
      <c r="R34" s="42"/>
    </row>
    <row r="35" spans="2:18" x14ac:dyDescent="0.25">
      <c r="B35" t="s">
        <v>93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39"/>
      <c r="R35" s="42"/>
    </row>
    <row r="36" spans="2:18" x14ac:dyDescent="0.25">
      <c r="B36" t="s">
        <v>81</v>
      </c>
      <c r="C36" s="16">
        <f>SUM(C32:C35)</f>
        <v>0</v>
      </c>
      <c r="D36" s="16">
        <f t="shared" ref="D36:O36" si="9">SUM(D32:D35)</f>
        <v>0</v>
      </c>
      <c r="E36" s="16">
        <f t="shared" si="9"/>
        <v>0</v>
      </c>
      <c r="F36" s="16">
        <f t="shared" si="9"/>
        <v>0</v>
      </c>
      <c r="G36" s="16">
        <f t="shared" si="9"/>
        <v>0</v>
      </c>
      <c r="H36" s="16">
        <f t="shared" si="9"/>
        <v>0</v>
      </c>
      <c r="I36" s="16">
        <f t="shared" si="9"/>
        <v>0</v>
      </c>
      <c r="J36" s="16">
        <f t="shared" si="9"/>
        <v>0</v>
      </c>
      <c r="K36" s="16">
        <f t="shared" si="9"/>
        <v>0</v>
      </c>
      <c r="L36" s="16">
        <f t="shared" si="9"/>
        <v>0</v>
      </c>
      <c r="M36" s="16">
        <f t="shared" si="9"/>
        <v>0</v>
      </c>
      <c r="N36" s="16">
        <f t="shared" si="9"/>
        <v>0</v>
      </c>
      <c r="O36" s="16">
        <f t="shared" si="9"/>
        <v>0</v>
      </c>
      <c r="P36" s="36"/>
    </row>
    <row r="37" spans="2:18" x14ac:dyDescent="0.25">
      <c r="B37" t="s">
        <v>94</v>
      </c>
      <c r="C37" s="16" t="s">
        <v>85</v>
      </c>
      <c r="D37" s="16">
        <f t="shared" ref="D37:N37" si="10">(D36-C36)-D28</f>
        <v>0</v>
      </c>
      <c r="E37" s="16">
        <f t="shared" si="10"/>
        <v>0</v>
      </c>
      <c r="F37" s="16">
        <f t="shared" si="10"/>
        <v>0</v>
      </c>
      <c r="G37" s="16">
        <f t="shared" si="10"/>
        <v>0</v>
      </c>
      <c r="H37" s="16">
        <f t="shared" si="10"/>
        <v>0</v>
      </c>
      <c r="I37" s="16">
        <f t="shared" si="10"/>
        <v>0</v>
      </c>
      <c r="J37" s="16">
        <f t="shared" si="10"/>
        <v>0</v>
      </c>
      <c r="K37" s="16">
        <f t="shared" si="10"/>
        <v>0</v>
      </c>
      <c r="L37" s="16">
        <f t="shared" si="10"/>
        <v>0</v>
      </c>
      <c r="M37" s="16">
        <f t="shared" si="10"/>
        <v>0</v>
      </c>
      <c r="N37" s="16">
        <f t="shared" si="10"/>
        <v>0</v>
      </c>
      <c r="O37" s="16">
        <v>500</v>
      </c>
      <c r="P37" s="36"/>
    </row>
    <row r="38" spans="2:18" x14ac:dyDescent="0.25"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20"/>
    </row>
    <row r="39" spans="2:18" x14ac:dyDescent="0.25"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2:18" ht="44.25" x14ac:dyDescent="0.55000000000000004">
      <c r="D40" s="46"/>
      <c r="E40" s="46"/>
      <c r="F40" s="46"/>
    </row>
    <row r="44" spans="2:18" x14ac:dyDescent="0.25">
      <c r="C44" s="15"/>
    </row>
    <row r="45" spans="2:18" x14ac:dyDescent="0.25">
      <c r="C45" s="15"/>
    </row>
    <row r="46" spans="2:18" x14ac:dyDescent="0.25">
      <c r="C46" s="15"/>
    </row>
    <row r="47" spans="2:18" x14ac:dyDescent="0.25">
      <c r="C47" s="15"/>
    </row>
    <row r="48" spans="2:18" x14ac:dyDescent="0.25">
      <c r="C48" s="15"/>
    </row>
    <row r="49" spans="3:3" x14ac:dyDescent="0.25">
      <c r="C49" s="15"/>
    </row>
    <row r="50" spans="3:3" x14ac:dyDescent="0.25">
      <c r="C50" s="15"/>
    </row>
    <row r="51" spans="3:3" x14ac:dyDescent="0.25">
      <c r="C51" s="15"/>
    </row>
    <row r="52" spans="3:3" x14ac:dyDescent="0.25">
      <c r="C52" s="15"/>
    </row>
    <row r="53" spans="3:3" x14ac:dyDescent="0.25">
      <c r="C53" s="15"/>
    </row>
    <row r="54" spans="3:3" x14ac:dyDescent="0.25">
      <c r="C54" s="15"/>
    </row>
    <row r="55" spans="3:3" x14ac:dyDescent="0.25">
      <c r="C55" s="15"/>
    </row>
    <row r="56" spans="3:3" x14ac:dyDescent="0.25">
      <c r="C56" s="15"/>
    </row>
    <row r="57" spans="3:3" x14ac:dyDescent="0.25">
      <c r="C57" s="15"/>
    </row>
    <row r="58" spans="3:3" x14ac:dyDescent="0.25">
      <c r="C58" s="15"/>
    </row>
    <row r="59" spans="3:3" x14ac:dyDescent="0.25">
      <c r="C59" s="15"/>
    </row>
    <row r="60" spans="3:3" x14ac:dyDescent="0.25">
      <c r="C60" s="15"/>
    </row>
    <row r="61" spans="3:3" x14ac:dyDescent="0.25">
      <c r="C61" s="15"/>
    </row>
    <row r="62" spans="3:3" x14ac:dyDescent="0.25">
      <c r="C62" s="15"/>
    </row>
    <row r="63" spans="3:3" x14ac:dyDescent="0.25">
      <c r="C63" s="15"/>
    </row>
    <row r="64" spans="3:3" x14ac:dyDescent="0.25">
      <c r="C64" s="15"/>
    </row>
    <row r="65" spans="3:3" x14ac:dyDescent="0.25">
      <c r="C65" s="15"/>
    </row>
    <row r="119" spans="7:9" x14ac:dyDescent="0.25">
      <c r="G119" s="41"/>
    </row>
    <row r="120" spans="7:9" x14ac:dyDescent="0.25">
      <c r="G120" s="41"/>
    </row>
    <row r="121" spans="7:9" x14ac:dyDescent="0.25">
      <c r="G121" s="41"/>
    </row>
    <row r="122" spans="7:9" x14ac:dyDescent="0.25">
      <c r="G122" s="41"/>
    </row>
    <row r="123" spans="7:9" x14ac:dyDescent="0.25">
      <c r="G123" s="41"/>
    </row>
    <row r="124" spans="7:9" x14ac:dyDescent="0.25">
      <c r="G124" s="41"/>
    </row>
    <row r="125" spans="7:9" x14ac:dyDescent="0.25">
      <c r="H125" s="9"/>
      <c r="I125" s="9"/>
    </row>
  </sheetData>
  <mergeCells count="2">
    <mergeCell ref="B1:P1"/>
    <mergeCell ref="D40:F40"/>
  </mergeCell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93C4D8D7-F987-49D2-BEA3-6A38E2D127C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#REF!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D5:O14</xm:sqref>
        </x14:conditionalFormatting>
        <x14:conditionalFormatting xmlns:xm="http://schemas.microsoft.com/office/excel/2006/main">
          <x14:cfRule type="iconSet" priority="1" id="{5BED332A-AD49-4FB4-A650-C1FEB5026D4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#REF!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D19:O23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01"/>
  <sheetViews>
    <sheetView workbookViewId="0">
      <selection sqref="A1:E52"/>
    </sheetView>
  </sheetViews>
  <sheetFormatPr defaultRowHeight="15" x14ac:dyDescent="0.25"/>
  <cols>
    <col min="1" max="1" width="23.42578125" customWidth="1"/>
    <col min="2" max="2" width="8.42578125" customWidth="1"/>
    <col min="3" max="3" width="10.7109375" customWidth="1"/>
    <col min="4" max="4" width="15.5703125" bestFit="1" customWidth="1"/>
    <col min="5" max="5" width="8" customWidth="1"/>
    <col min="10" max="10" width="15.5703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10</v>
      </c>
      <c r="B2" s="3">
        <v>1582</v>
      </c>
      <c r="C2" s="1" t="s">
        <v>6</v>
      </c>
      <c r="D2" s="2">
        <v>42396</v>
      </c>
      <c r="E2" s="1" t="s">
        <v>5</v>
      </c>
    </row>
    <row r="3" spans="1:5" x14ac:dyDescent="0.25">
      <c r="A3" s="1" t="s">
        <v>12</v>
      </c>
      <c r="B3" s="3">
        <v>1684</v>
      </c>
      <c r="C3" s="1" t="s">
        <v>107</v>
      </c>
      <c r="D3" s="2">
        <v>42396</v>
      </c>
      <c r="E3" s="1" t="s">
        <v>7</v>
      </c>
    </row>
    <row r="4" spans="1:5" x14ac:dyDescent="0.25">
      <c r="A4" s="1" t="s">
        <v>13</v>
      </c>
      <c r="B4" s="3">
        <v>1861</v>
      </c>
      <c r="C4" s="1" t="s">
        <v>108</v>
      </c>
      <c r="D4" s="2">
        <v>42396</v>
      </c>
      <c r="E4" s="1" t="s">
        <v>5</v>
      </c>
    </row>
    <row r="5" spans="1:5" x14ac:dyDescent="0.25">
      <c r="A5" s="1" t="s">
        <v>15</v>
      </c>
      <c r="B5" s="3">
        <v>1929</v>
      </c>
      <c r="C5" s="1" t="s">
        <v>109</v>
      </c>
      <c r="D5" s="2">
        <v>42396</v>
      </c>
      <c r="E5" s="1" t="s">
        <v>7</v>
      </c>
    </row>
    <row r="6" spans="1:5" x14ac:dyDescent="0.25">
      <c r="A6" s="1" t="s">
        <v>16</v>
      </c>
      <c r="B6" s="3">
        <v>1822</v>
      </c>
      <c r="C6" s="1" t="s">
        <v>6</v>
      </c>
      <c r="D6" s="2">
        <v>42396</v>
      </c>
      <c r="E6" s="1" t="s">
        <v>5</v>
      </c>
    </row>
    <row r="7" spans="1:5" x14ac:dyDescent="0.25">
      <c r="A7" s="1" t="s">
        <v>17</v>
      </c>
      <c r="B7" s="3">
        <v>1060</v>
      </c>
      <c r="C7" s="1" t="s">
        <v>108</v>
      </c>
      <c r="D7" s="2">
        <v>42396</v>
      </c>
      <c r="E7" s="1" t="s">
        <v>5</v>
      </c>
    </row>
    <row r="8" spans="1:5" x14ac:dyDescent="0.25">
      <c r="A8" s="1" t="s">
        <v>19</v>
      </c>
      <c r="B8" s="3">
        <v>959</v>
      </c>
      <c r="C8" s="1" t="s">
        <v>108</v>
      </c>
      <c r="D8" s="2">
        <v>42396</v>
      </c>
      <c r="E8" s="1" t="s">
        <v>5</v>
      </c>
    </row>
    <row r="9" spans="1:5" x14ac:dyDescent="0.25">
      <c r="A9" s="1" t="s">
        <v>20</v>
      </c>
      <c r="B9" s="3">
        <v>157</v>
      </c>
      <c r="C9" s="1" t="s">
        <v>107</v>
      </c>
      <c r="D9" s="2">
        <v>42584</v>
      </c>
      <c r="E9" s="1" t="s">
        <v>7</v>
      </c>
    </row>
    <row r="10" spans="1:5" x14ac:dyDescent="0.25">
      <c r="A10" s="1" t="s">
        <v>21</v>
      </c>
      <c r="B10" s="3">
        <v>1517</v>
      </c>
      <c r="C10" s="1" t="s">
        <v>107</v>
      </c>
      <c r="D10" s="2">
        <v>42584</v>
      </c>
      <c r="E10" s="1" t="s">
        <v>7</v>
      </c>
    </row>
    <row r="11" spans="1:5" x14ac:dyDescent="0.25">
      <c r="A11" s="1" t="s">
        <v>22</v>
      </c>
      <c r="B11" s="3">
        <v>1629</v>
      </c>
      <c r="C11" s="1" t="s">
        <v>6</v>
      </c>
      <c r="D11" s="2">
        <v>42584</v>
      </c>
      <c r="E11" s="1" t="s">
        <v>5</v>
      </c>
    </row>
    <row r="12" spans="1:5" x14ac:dyDescent="0.25">
      <c r="A12" s="1" t="s">
        <v>23</v>
      </c>
      <c r="B12" s="3">
        <v>235</v>
      </c>
      <c r="C12" s="1" t="s">
        <v>109</v>
      </c>
      <c r="D12" s="2">
        <v>42584</v>
      </c>
      <c r="E12" s="1" t="s">
        <v>7</v>
      </c>
    </row>
    <row r="13" spans="1:5" x14ac:dyDescent="0.25">
      <c r="A13" s="1" t="s">
        <v>24</v>
      </c>
      <c r="B13" s="3">
        <v>98</v>
      </c>
      <c r="C13" s="1" t="s">
        <v>6</v>
      </c>
      <c r="D13" s="2">
        <v>42584</v>
      </c>
      <c r="E13" s="1" t="s">
        <v>5</v>
      </c>
    </row>
    <row r="14" spans="1:5" x14ac:dyDescent="0.25">
      <c r="A14" s="1" t="s">
        <v>26</v>
      </c>
      <c r="B14" s="3">
        <v>706</v>
      </c>
      <c r="C14" s="1" t="s">
        <v>6</v>
      </c>
      <c r="D14" s="2">
        <v>42584</v>
      </c>
      <c r="E14" s="1" t="s">
        <v>5</v>
      </c>
    </row>
    <row r="15" spans="1:5" x14ac:dyDescent="0.25">
      <c r="A15" s="1" t="s">
        <v>27</v>
      </c>
      <c r="B15" s="3">
        <v>888</v>
      </c>
      <c r="C15" s="1" t="s">
        <v>109</v>
      </c>
      <c r="D15" s="2">
        <v>42440</v>
      </c>
      <c r="E15" s="1" t="s">
        <v>7</v>
      </c>
    </row>
    <row r="16" spans="1:5" x14ac:dyDescent="0.25">
      <c r="A16" s="1" t="s">
        <v>28</v>
      </c>
      <c r="B16" s="3">
        <v>810</v>
      </c>
      <c r="C16" s="1" t="s">
        <v>109</v>
      </c>
      <c r="D16" s="2">
        <v>42440</v>
      </c>
      <c r="E16" s="1" t="s">
        <v>7</v>
      </c>
    </row>
    <row r="17" spans="1:5" x14ac:dyDescent="0.25">
      <c r="A17" s="1" t="s">
        <v>30</v>
      </c>
      <c r="B17" s="3">
        <v>705</v>
      </c>
      <c r="C17" s="1" t="s">
        <v>107</v>
      </c>
      <c r="D17" s="2">
        <v>42440</v>
      </c>
      <c r="E17" s="1" t="s">
        <v>7</v>
      </c>
    </row>
    <row r="18" spans="1:5" x14ac:dyDescent="0.25">
      <c r="A18" s="1" t="s">
        <v>32</v>
      </c>
      <c r="B18" s="3">
        <v>1717</v>
      </c>
      <c r="C18" s="1" t="s">
        <v>6</v>
      </c>
      <c r="D18" s="2">
        <v>42440</v>
      </c>
      <c r="E18" s="1" t="s">
        <v>5</v>
      </c>
    </row>
    <row r="19" spans="1:5" x14ac:dyDescent="0.25">
      <c r="A19" s="1" t="s">
        <v>33</v>
      </c>
      <c r="B19" s="3">
        <v>18</v>
      </c>
      <c r="C19" s="1" t="s">
        <v>108</v>
      </c>
      <c r="D19" s="2">
        <v>42440</v>
      </c>
      <c r="E19" s="1" t="s">
        <v>5</v>
      </c>
    </row>
    <row r="20" spans="1:5" x14ac:dyDescent="0.25">
      <c r="A20" s="1" t="s">
        <v>35</v>
      </c>
      <c r="B20" s="3">
        <v>1227</v>
      </c>
      <c r="C20" s="1" t="s">
        <v>108</v>
      </c>
      <c r="D20" s="2">
        <v>42440</v>
      </c>
      <c r="E20" s="1" t="s">
        <v>5</v>
      </c>
    </row>
    <row r="21" spans="1:5" x14ac:dyDescent="0.25">
      <c r="A21" s="1" t="s">
        <v>36</v>
      </c>
      <c r="B21" s="3">
        <v>1600</v>
      </c>
      <c r="C21" s="1" t="s">
        <v>109</v>
      </c>
      <c r="D21" s="2">
        <v>42440</v>
      </c>
      <c r="E21" s="1" t="s">
        <v>7</v>
      </c>
    </row>
    <row r="22" spans="1:5" x14ac:dyDescent="0.25">
      <c r="A22" s="1" t="s">
        <v>37</v>
      </c>
      <c r="B22" s="3">
        <v>315</v>
      </c>
      <c r="C22" s="1" t="s">
        <v>109</v>
      </c>
      <c r="D22" s="2">
        <v>42520</v>
      </c>
      <c r="E22" s="1" t="s">
        <v>7</v>
      </c>
    </row>
    <row r="23" spans="1:5" x14ac:dyDescent="0.25">
      <c r="A23" s="1" t="s">
        <v>38</v>
      </c>
      <c r="B23" s="3">
        <v>267</v>
      </c>
      <c r="C23" s="1" t="s">
        <v>109</v>
      </c>
      <c r="D23" s="2">
        <v>42520</v>
      </c>
      <c r="E23" s="1" t="s">
        <v>7</v>
      </c>
    </row>
    <row r="24" spans="1:5" x14ac:dyDescent="0.25">
      <c r="A24" s="1" t="s">
        <v>39</v>
      </c>
      <c r="B24" s="3">
        <v>1170</v>
      </c>
      <c r="C24" s="1" t="s">
        <v>109</v>
      </c>
      <c r="D24" s="2">
        <v>42520</v>
      </c>
      <c r="E24" s="1" t="s">
        <v>7</v>
      </c>
    </row>
    <row r="25" spans="1:5" x14ac:dyDescent="0.25">
      <c r="A25" s="1" t="s">
        <v>40</v>
      </c>
      <c r="B25" s="3">
        <v>1928</v>
      </c>
      <c r="C25" s="1" t="s">
        <v>108</v>
      </c>
      <c r="D25" s="2">
        <v>42520</v>
      </c>
      <c r="E25" s="1" t="s">
        <v>5</v>
      </c>
    </row>
    <row r="26" spans="1:5" x14ac:dyDescent="0.25">
      <c r="A26" s="1" t="s">
        <v>41</v>
      </c>
      <c r="B26" s="3">
        <v>906</v>
      </c>
      <c r="C26" s="1" t="s">
        <v>107</v>
      </c>
      <c r="D26" s="2">
        <v>42520</v>
      </c>
      <c r="E26" s="1" t="s">
        <v>7</v>
      </c>
    </row>
    <row r="27" spans="1:5" x14ac:dyDescent="0.25">
      <c r="A27" s="1" t="s">
        <v>42</v>
      </c>
      <c r="B27" s="3">
        <v>1228</v>
      </c>
      <c r="C27" s="1" t="s">
        <v>109</v>
      </c>
      <c r="D27" s="2">
        <v>42520</v>
      </c>
      <c r="E27" s="1" t="s">
        <v>7</v>
      </c>
    </row>
    <row r="28" spans="1:5" x14ac:dyDescent="0.25">
      <c r="A28" s="1" t="s">
        <v>43</v>
      </c>
      <c r="B28" s="3">
        <v>1803</v>
      </c>
      <c r="C28" s="1" t="s">
        <v>109</v>
      </c>
      <c r="D28" s="2">
        <v>42484</v>
      </c>
      <c r="E28" s="1" t="s">
        <v>7</v>
      </c>
    </row>
    <row r="29" spans="1:5" x14ac:dyDescent="0.25">
      <c r="A29" s="1" t="s">
        <v>44</v>
      </c>
      <c r="B29" s="3">
        <v>1835</v>
      </c>
      <c r="C29" s="1" t="s">
        <v>6</v>
      </c>
      <c r="D29" s="2">
        <v>42484</v>
      </c>
      <c r="E29" s="1" t="s">
        <v>5</v>
      </c>
    </row>
    <row r="30" spans="1:5" x14ac:dyDescent="0.25">
      <c r="A30" s="1" t="s">
        <v>45</v>
      </c>
      <c r="B30" s="3">
        <v>399</v>
      </c>
      <c r="C30" s="1" t="s">
        <v>108</v>
      </c>
      <c r="D30" s="2">
        <v>42484</v>
      </c>
      <c r="E30" s="1" t="s">
        <v>5</v>
      </c>
    </row>
    <row r="31" spans="1:5" x14ac:dyDescent="0.25">
      <c r="A31" s="1" t="s">
        <v>46</v>
      </c>
      <c r="B31" s="3">
        <v>204</v>
      </c>
      <c r="C31" s="1" t="s">
        <v>108</v>
      </c>
      <c r="D31" s="2">
        <v>42484</v>
      </c>
      <c r="E31" s="1" t="s">
        <v>5</v>
      </c>
    </row>
    <row r="32" spans="1:5" x14ac:dyDescent="0.25">
      <c r="A32" s="1" t="s">
        <v>47</v>
      </c>
      <c r="B32" s="3">
        <v>687</v>
      </c>
      <c r="C32" s="1" t="s">
        <v>109</v>
      </c>
      <c r="D32" s="2">
        <v>42484</v>
      </c>
      <c r="E32" s="1" t="s">
        <v>7</v>
      </c>
    </row>
    <row r="33" spans="1:5" x14ac:dyDescent="0.25">
      <c r="A33" s="1" t="s">
        <v>48</v>
      </c>
      <c r="B33" s="3">
        <v>1406</v>
      </c>
      <c r="C33" s="1" t="s">
        <v>6</v>
      </c>
      <c r="D33" s="2">
        <v>42484</v>
      </c>
      <c r="E33" s="1" t="s">
        <v>5</v>
      </c>
    </row>
    <row r="34" spans="1:5" x14ac:dyDescent="0.25">
      <c r="A34" s="1" t="s">
        <v>49</v>
      </c>
      <c r="B34" s="3">
        <v>1299</v>
      </c>
      <c r="C34" s="1" t="s">
        <v>6</v>
      </c>
      <c r="D34" s="2">
        <v>42564</v>
      </c>
      <c r="E34" s="1" t="s">
        <v>5</v>
      </c>
    </row>
    <row r="35" spans="1:5" x14ac:dyDescent="0.25">
      <c r="A35" s="1" t="s">
        <v>50</v>
      </c>
      <c r="B35" s="3">
        <v>131</v>
      </c>
      <c r="C35" s="1" t="s">
        <v>109</v>
      </c>
      <c r="D35" s="2">
        <v>42564</v>
      </c>
      <c r="E35" s="1" t="s">
        <v>7</v>
      </c>
    </row>
    <row r="36" spans="1:5" x14ac:dyDescent="0.25">
      <c r="A36" s="1" t="s">
        <v>51</v>
      </c>
      <c r="B36" s="3">
        <v>1454</v>
      </c>
      <c r="C36" s="1" t="s">
        <v>109</v>
      </c>
      <c r="D36" s="2">
        <v>42564</v>
      </c>
      <c r="E36" s="1" t="s">
        <v>7</v>
      </c>
    </row>
    <row r="37" spans="1:5" x14ac:dyDescent="0.25">
      <c r="A37" s="1" t="s">
        <v>52</v>
      </c>
      <c r="B37" s="3">
        <v>189</v>
      </c>
      <c r="C37" s="1" t="s">
        <v>6</v>
      </c>
      <c r="D37" s="2">
        <v>42564</v>
      </c>
      <c r="E37" s="1" t="s">
        <v>5</v>
      </c>
    </row>
    <row r="38" spans="1:5" x14ac:dyDescent="0.25">
      <c r="A38" s="1" t="s">
        <v>53</v>
      </c>
      <c r="B38" s="3">
        <v>1950</v>
      </c>
      <c r="C38" s="1" t="s">
        <v>109</v>
      </c>
      <c r="D38" s="2">
        <v>42527</v>
      </c>
      <c r="E38" s="1" t="s">
        <v>7</v>
      </c>
    </row>
    <row r="39" spans="1:5" x14ac:dyDescent="0.25">
      <c r="A39" s="1" t="s">
        <v>54</v>
      </c>
      <c r="B39" s="3">
        <v>999</v>
      </c>
      <c r="C39" s="1" t="s">
        <v>109</v>
      </c>
      <c r="D39" s="2">
        <v>42527</v>
      </c>
      <c r="E39" s="1" t="s">
        <v>7</v>
      </c>
    </row>
    <row r="40" spans="1:5" x14ac:dyDescent="0.25">
      <c r="A40" s="1" t="s">
        <v>55</v>
      </c>
      <c r="B40" s="3">
        <v>1939</v>
      </c>
      <c r="C40" s="1" t="s">
        <v>108</v>
      </c>
      <c r="D40" s="2">
        <v>42527</v>
      </c>
      <c r="E40" s="1" t="s">
        <v>5</v>
      </c>
    </row>
    <row r="41" spans="1:5" x14ac:dyDescent="0.25">
      <c r="A41" s="1" t="s">
        <v>56</v>
      </c>
      <c r="B41" s="3">
        <v>1699</v>
      </c>
      <c r="C41" s="1" t="s">
        <v>6</v>
      </c>
      <c r="D41" s="2">
        <v>42527</v>
      </c>
      <c r="E41" s="1" t="s">
        <v>5</v>
      </c>
    </row>
    <row r="42" spans="1:5" x14ac:dyDescent="0.25">
      <c r="A42" s="1" t="s">
        <v>57</v>
      </c>
      <c r="B42" s="3">
        <v>230</v>
      </c>
      <c r="C42" s="1" t="s">
        <v>108</v>
      </c>
      <c r="D42" s="2">
        <v>42527</v>
      </c>
      <c r="E42" s="1" t="s">
        <v>5</v>
      </c>
    </row>
    <row r="43" spans="1:5" x14ac:dyDescent="0.25">
      <c r="A43" s="1" t="s">
        <v>58</v>
      </c>
      <c r="B43" s="3">
        <v>357</v>
      </c>
      <c r="C43" s="1" t="s">
        <v>107</v>
      </c>
      <c r="D43" s="2">
        <v>42527</v>
      </c>
      <c r="E43" s="1" t="s">
        <v>7</v>
      </c>
    </row>
    <row r="44" spans="1:5" x14ac:dyDescent="0.25">
      <c r="A44" s="1" t="s">
        <v>59</v>
      </c>
      <c r="B44" s="3">
        <v>852</v>
      </c>
      <c r="C44" s="1" t="s">
        <v>107</v>
      </c>
      <c r="D44" s="2">
        <v>42383</v>
      </c>
      <c r="E44" s="1" t="s">
        <v>7</v>
      </c>
    </row>
    <row r="45" spans="1:5" x14ac:dyDescent="0.25">
      <c r="A45" s="1" t="s">
        <v>60</v>
      </c>
      <c r="B45" s="3">
        <v>1355</v>
      </c>
      <c r="C45" s="1" t="s">
        <v>108</v>
      </c>
      <c r="D45" s="2">
        <v>42383</v>
      </c>
      <c r="E45" s="1" t="s">
        <v>5</v>
      </c>
    </row>
    <row r="46" spans="1:5" x14ac:dyDescent="0.25">
      <c r="A46" s="1" t="s">
        <v>61</v>
      </c>
      <c r="B46" s="3">
        <v>970</v>
      </c>
      <c r="C46" s="1" t="s">
        <v>109</v>
      </c>
      <c r="D46" s="2">
        <v>42383</v>
      </c>
      <c r="E46" s="1" t="s">
        <v>7</v>
      </c>
    </row>
    <row r="47" spans="1:5" x14ac:dyDescent="0.25">
      <c r="A47" s="1" t="s">
        <v>62</v>
      </c>
      <c r="B47" s="3">
        <v>1816</v>
      </c>
      <c r="C47" s="1" t="s">
        <v>6</v>
      </c>
      <c r="D47" s="2">
        <v>42383</v>
      </c>
      <c r="E47" s="1" t="s">
        <v>5</v>
      </c>
    </row>
    <row r="48" spans="1:5" x14ac:dyDescent="0.25">
      <c r="A48" s="1" t="s">
        <v>63</v>
      </c>
      <c r="B48" s="3">
        <v>181</v>
      </c>
      <c r="C48" s="1" t="s">
        <v>109</v>
      </c>
      <c r="D48" s="2">
        <v>42383</v>
      </c>
      <c r="E48" s="1" t="s">
        <v>7</v>
      </c>
    </row>
    <row r="49" spans="1:5" x14ac:dyDescent="0.25">
      <c r="A49" s="1" t="s">
        <v>64</v>
      </c>
      <c r="B49" s="3">
        <v>480</v>
      </c>
      <c r="C49" s="1" t="s">
        <v>109</v>
      </c>
      <c r="D49" s="2">
        <v>42464</v>
      </c>
      <c r="E49" s="1" t="s">
        <v>7</v>
      </c>
    </row>
    <row r="50" spans="1:5" x14ac:dyDescent="0.25">
      <c r="A50" s="1" t="s">
        <v>65</v>
      </c>
      <c r="B50" s="3">
        <v>399</v>
      </c>
      <c r="C50" s="1" t="s">
        <v>109</v>
      </c>
      <c r="D50" s="2">
        <v>42464</v>
      </c>
      <c r="E50" s="1" t="s">
        <v>7</v>
      </c>
    </row>
    <row r="51" spans="1:5" x14ac:dyDescent="0.25">
      <c r="A51" s="1" t="s">
        <v>66</v>
      </c>
      <c r="B51" s="3">
        <v>627</v>
      </c>
      <c r="C51" s="1" t="s">
        <v>109</v>
      </c>
      <c r="D51" s="2">
        <v>42464</v>
      </c>
      <c r="E51" s="1" t="s">
        <v>7</v>
      </c>
    </row>
    <row r="52" spans="1:5" x14ac:dyDescent="0.25">
      <c r="A52" t="s">
        <v>81</v>
      </c>
      <c r="E52">
        <f>SUBTOTAL(103,posteringFil[Type])</f>
        <v>50</v>
      </c>
    </row>
    <row r="499" spans="10:10" x14ac:dyDescent="0.25">
      <c r="J499" t="s">
        <v>29</v>
      </c>
    </row>
    <row r="500" spans="10:10" x14ac:dyDescent="0.25">
      <c r="J500" t="s">
        <v>7</v>
      </c>
    </row>
    <row r="501" spans="10:10" x14ac:dyDescent="0.25">
      <c r="J501">
        <f>SUMIFS(B:B,E:E,J500,C:C,J499,D:D,"&gt;="&amp;DATE(2016,7,1),D:D,"&lt;"&amp;DATE(2016,8,1))</f>
        <v>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08154EE-5589-4F9D-AC63-DAF9874F497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#REF!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G20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7"/>
  <sheetViews>
    <sheetView workbookViewId="0">
      <selection activeCell="B12" sqref="B12"/>
    </sheetView>
  </sheetViews>
  <sheetFormatPr defaultRowHeight="15" x14ac:dyDescent="0.25"/>
  <cols>
    <col min="1" max="1" width="13.140625" customWidth="1"/>
    <col min="2" max="2" width="16.28515625" customWidth="1"/>
    <col min="3" max="8" width="5" customWidth="1"/>
    <col min="9" max="9" width="11.28515625" bestFit="1" customWidth="1"/>
  </cols>
  <sheetData>
    <row r="1" spans="1:9" x14ac:dyDescent="0.25">
      <c r="A1" s="43" t="s">
        <v>4</v>
      </c>
      <c r="B1" t="s">
        <v>7</v>
      </c>
    </row>
    <row r="3" spans="1:9" x14ac:dyDescent="0.25">
      <c r="A3" s="43" t="s">
        <v>98</v>
      </c>
      <c r="B3" s="43" t="s">
        <v>106</v>
      </c>
    </row>
    <row r="4" spans="1:9" x14ac:dyDescent="0.25">
      <c r="A4" s="43" t="s">
        <v>96</v>
      </c>
      <c r="B4" t="s">
        <v>99</v>
      </c>
      <c r="C4" t="s">
        <v>100</v>
      </c>
      <c r="D4" t="s">
        <v>101</v>
      </c>
      <c r="E4" t="s">
        <v>102</v>
      </c>
      <c r="F4" t="s">
        <v>103</v>
      </c>
      <c r="G4" t="s">
        <v>104</v>
      </c>
      <c r="H4" t="s">
        <v>105</v>
      </c>
      <c r="I4" t="s">
        <v>97</v>
      </c>
    </row>
    <row r="5" spans="1:9" x14ac:dyDescent="0.25">
      <c r="A5" s="44" t="s">
        <v>107</v>
      </c>
      <c r="B5" s="1">
        <v>2536</v>
      </c>
      <c r="C5" s="1">
        <v>705</v>
      </c>
      <c r="D5" s="1"/>
      <c r="E5" s="1">
        <v>906</v>
      </c>
      <c r="F5" s="1">
        <v>357</v>
      </c>
      <c r="G5" s="1"/>
      <c r="H5" s="1">
        <v>1674</v>
      </c>
      <c r="I5" s="1">
        <v>6178</v>
      </c>
    </row>
    <row r="6" spans="1:9" x14ac:dyDescent="0.25">
      <c r="A6" s="44" t="s">
        <v>109</v>
      </c>
      <c r="B6" s="1">
        <v>3080</v>
      </c>
      <c r="C6" s="1">
        <v>3298</v>
      </c>
      <c r="D6" s="1">
        <v>3996</v>
      </c>
      <c r="E6" s="1">
        <v>2980</v>
      </c>
      <c r="F6" s="1">
        <v>2949</v>
      </c>
      <c r="G6" s="1">
        <v>1585</v>
      </c>
      <c r="H6" s="1">
        <v>235</v>
      </c>
      <c r="I6" s="1">
        <v>18123</v>
      </c>
    </row>
    <row r="7" spans="1:9" x14ac:dyDescent="0.25">
      <c r="A7" s="44" t="s">
        <v>97</v>
      </c>
      <c r="B7" s="1">
        <v>5616</v>
      </c>
      <c r="C7" s="1">
        <v>4003</v>
      </c>
      <c r="D7" s="1">
        <v>3996</v>
      </c>
      <c r="E7" s="1">
        <v>3886</v>
      </c>
      <c r="F7" s="1">
        <v>3306</v>
      </c>
      <c r="G7" s="1">
        <v>1585</v>
      </c>
      <c r="H7" s="1">
        <v>1909</v>
      </c>
      <c r="I7" s="1">
        <v>24301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7"/>
  <sheetViews>
    <sheetView tabSelected="1" workbookViewId="0">
      <selection activeCell="N17" sqref="N17"/>
    </sheetView>
  </sheetViews>
  <sheetFormatPr defaultRowHeight="15" x14ac:dyDescent="0.25"/>
  <cols>
    <col min="1" max="1" width="13.140625" customWidth="1"/>
    <col min="2" max="2" width="16.28515625" customWidth="1"/>
    <col min="3" max="8" width="5" customWidth="1"/>
    <col min="9" max="9" width="11.28515625" bestFit="1" customWidth="1"/>
  </cols>
  <sheetData>
    <row r="1" spans="1:9" x14ac:dyDescent="0.25">
      <c r="A1" s="43" t="s">
        <v>4</v>
      </c>
      <c r="B1" t="s">
        <v>5</v>
      </c>
    </row>
    <row r="3" spans="1:9" x14ac:dyDescent="0.25">
      <c r="A3" s="43" t="s">
        <v>98</v>
      </c>
      <c r="B3" s="43" t="s">
        <v>106</v>
      </c>
    </row>
    <row r="4" spans="1:9" x14ac:dyDescent="0.25">
      <c r="A4" s="43" t="s">
        <v>96</v>
      </c>
      <c r="B4" t="s">
        <v>99</v>
      </c>
      <c r="C4" t="s">
        <v>100</v>
      </c>
      <c r="D4" t="s">
        <v>101</v>
      </c>
      <c r="E4" t="s">
        <v>102</v>
      </c>
      <c r="F4" t="s">
        <v>103</v>
      </c>
      <c r="G4" t="s">
        <v>104</v>
      </c>
      <c r="H4" t="s">
        <v>105</v>
      </c>
      <c r="I4" t="s">
        <v>97</v>
      </c>
    </row>
    <row r="5" spans="1:9" x14ac:dyDescent="0.25">
      <c r="A5" s="44" t="s">
        <v>108</v>
      </c>
      <c r="B5" s="1">
        <v>5235</v>
      </c>
      <c r="C5" s="1">
        <v>1245</v>
      </c>
      <c r="D5" s="1">
        <v>603</v>
      </c>
      <c r="E5" s="1">
        <v>1928</v>
      </c>
      <c r="F5" s="1">
        <v>2169</v>
      </c>
      <c r="G5" s="1"/>
      <c r="H5" s="1"/>
      <c r="I5" s="1">
        <v>11180</v>
      </c>
    </row>
    <row r="6" spans="1:9" x14ac:dyDescent="0.25">
      <c r="A6" s="44" t="s">
        <v>6</v>
      </c>
      <c r="B6" s="1">
        <v>5220</v>
      </c>
      <c r="C6" s="1">
        <v>1717</v>
      </c>
      <c r="D6" s="1">
        <v>3241</v>
      </c>
      <c r="E6" s="1"/>
      <c r="F6" s="1">
        <v>1699</v>
      </c>
      <c r="G6" s="1">
        <v>1488</v>
      </c>
      <c r="H6" s="1">
        <v>2433</v>
      </c>
      <c r="I6" s="1">
        <v>15798</v>
      </c>
    </row>
    <row r="7" spans="1:9" x14ac:dyDescent="0.25">
      <c r="A7" s="44" t="s">
        <v>97</v>
      </c>
      <c r="B7" s="1">
        <v>10455</v>
      </c>
      <c r="C7" s="1">
        <v>2962</v>
      </c>
      <c r="D7" s="1">
        <v>3844</v>
      </c>
      <c r="E7" s="1">
        <v>1928</v>
      </c>
      <c r="F7" s="1">
        <v>3868</v>
      </c>
      <c r="G7" s="1">
        <v>1488</v>
      </c>
      <c r="H7" s="1">
        <v>2433</v>
      </c>
      <c r="I7" s="1">
        <v>26978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26D16F-C940-4F2C-9EDE-CBD3A16F84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Ark1</vt:lpstr>
      <vt:lpstr>Sheet2</vt:lpstr>
      <vt:lpstr>Posteringer</vt:lpstr>
      <vt:lpstr>Udgifter</vt:lpstr>
      <vt:lpstr>Indtægter</vt:lpstr>
      <vt:lpstr>InputTabel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Hinge</dc:creator>
  <cp:lastModifiedBy>Christian Hinge</cp:lastModifiedBy>
  <dcterms:created xsi:type="dcterms:W3CDTF">2016-08-06T16:07:14Z</dcterms:created>
  <dcterms:modified xsi:type="dcterms:W3CDTF">2016-08-13T22:20:34Z</dcterms:modified>
</cp:coreProperties>
</file>