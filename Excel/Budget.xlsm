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ruger\Documents\Visual Studio 2015\Projects\Budget\Excel\"/>
    </mc:Choice>
  </mc:AlternateContent>
  <bookViews>
    <workbookView xWindow="0" yWindow="0" windowWidth="28800" windowHeight="12210"/>
  </bookViews>
  <sheets>
    <sheet name="Ark1" sheetId="1" r:id="rId1"/>
    <sheet name="Sheet2" sheetId="6" r:id="rId2"/>
    <sheet name="Posteringer" sheetId="2" r:id="rId3"/>
    <sheet name="Ark2" sheetId="7" r:id="rId4"/>
    <sheet name="Udgifter" sheetId="5" r:id="rId5"/>
    <sheet name="Indtægter" sheetId="4" r:id="rId6"/>
  </sheets>
  <definedNames>
    <definedName name="EksterneData_1" localSheetId="3" hidden="1">'Ark2'!$A$1:$E$202</definedName>
    <definedName name="EksterneData_1" localSheetId="2" hidden="1">Posteringer!$A$1:$E$51</definedName>
    <definedName name="InputTabel">posteringFil[#All]</definedName>
  </definedNames>
  <calcPr calcId="171027"/>
  <pivotCaches>
    <pivotCache cacheId="5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2" i="2" l="1"/>
  <c r="J501" i="2" l="1"/>
  <c r="O36" i="1"/>
  <c r="N36" i="1"/>
  <c r="M36" i="1"/>
  <c r="L36" i="1"/>
  <c r="K36" i="1"/>
  <c r="H36" i="1"/>
  <c r="G36" i="1"/>
  <c r="F36" i="1"/>
  <c r="E36" i="1"/>
  <c r="D36" i="1"/>
  <c r="C36" i="1"/>
  <c r="J36" i="1"/>
  <c r="I36" i="1"/>
  <c r="E24" i="1" l="1"/>
  <c r="D24" i="1"/>
  <c r="E15" i="1"/>
  <c r="D15" i="1"/>
  <c r="E28" i="1" l="1"/>
  <c r="E37" i="1" s="1"/>
  <c r="D28" i="1"/>
  <c r="D37" i="1" s="1"/>
  <c r="P13" i="1" l="1"/>
  <c r="R13" i="1"/>
  <c r="R9" i="1"/>
  <c r="M15" i="1"/>
  <c r="H15" i="1"/>
  <c r="R7" i="1"/>
  <c r="R6" i="1"/>
  <c r="P6" i="1"/>
  <c r="R12" i="1"/>
  <c r="P9" i="1"/>
  <c r="L15" i="1"/>
  <c r="P12" i="1"/>
  <c r="J15" i="1"/>
  <c r="N15" i="1"/>
  <c r="R8" i="1"/>
  <c r="P8" i="1"/>
  <c r="O15" i="1"/>
  <c r="F15" i="1"/>
  <c r="P5" i="1"/>
  <c r="P15" i="1" s="1"/>
  <c r="R14" i="1"/>
  <c r="K15" i="1"/>
  <c r="R11" i="1"/>
  <c r="P11" i="1"/>
  <c r="Q11" i="1" s="1"/>
  <c r="R10" i="1"/>
  <c r="P10" i="1"/>
  <c r="I15" i="1"/>
  <c r="R5" i="1"/>
  <c r="R15" i="1" s="1"/>
  <c r="G15" i="1"/>
  <c r="P14" i="1"/>
  <c r="Q14" i="1" s="1"/>
  <c r="P7" i="1"/>
  <c r="Q8" i="1" l="1"/>
  <c r="Q13" i="1"/>
  <c r="Q6" i="1"/>
  <c r="Q10" i="1"/>
  <c r="Q9" i="1"/>
  <c r="Q7" i="1"/>
  <c r="Q12" i="1"/>
  <c r="Q5" i="1"/>
  <c r="R23" i="1"/>
  <c r="R20" i="1"/>
  <c r="P19" i="1"/>
  <c r="P24" i="1" s="1"/>
  <c r="R22" i="1"/>
  <c r="P20" i="1"/>
  <c r="R21" i="1"/>
  <c r="P21" i="1"/>
  <c r="Q21" i="1" s="1"/>
  <c r="P23" i="1"/>
  <c r="F24" i="1"/>
  <c r="F28" i="1"/>
  <c r="F37" i="1" s="1"/>
  <c r="H24" i="1"/>
  <c r="H28" i="1" s="1"/>
  <c r="H37" i="1" s="1"/>
  <c r="P22" i="1"/>
  <c r="O24" i="1"/>
  <c r="O28" i="1" s="1"/>
  <c r="G24" i="1"/>
  <c r="G28" i="1" s="1"/>
  <c r="G37" i="1" s="1"/>
  <c r="K24" i="1"/>
  <c r="K28" i="1" s="1"/>
  <c r="K37" i="1" s="1"/>
  <c r="R19" i="1"/>
  <c r="R24" i="1" s="1"/>
  <c r="R28" i="1" s="1"/>
  <c r="M24" i="1"/>
  <c r="M28" i="1"/>
  <c r="M37" i="1" s="1"/>
  <c r="J24" i="1"/>
  <c r="J28" i="1"/>
  <c r="J37" i="1" s="1"/>
  <c r="I24" i="1"/>
  <c r="I28" i="1" s="1"/>
  <c r="I37" i="1" s="1"/>
  <c r="N24" i="1"/>
  <c r="N28" i="1" s="1"/>
  <c r="N37" i="1" s="1"/>
  <c r="L24" i="1"/>
  <c r="L28" i="1"/>
  <c r="L37" i="1" s="1"/>
  <c r="Q22" i="1" l="1"/>
  <c r="Q23" i="1"/>
  <c r="P28" i="1"/>
  <c r="Q20" i="1"/>
  <c r="Q19" i="1"/>
</calcChain>
</file>

<file path=xl/comments1.xml><?xml version="1.0" encoding="utf-8"?>
<comments xmlns="http://schemas.openxmlformats.org/spreadsheetml/2006/main">
  <authors>
    <author>Christian Hinge</author>
  </authors>
  <commentList>
    <comment ref="B37" authorId="0" shapeId="0">
      <text>
        <r>
          <rPr>
            <sz val="9"/>
            <color indexed="81"/>
            <rFont val="Tahoma"/>
            <family val="2"/>
          </rPr>
          <t>If there's a positive number, you have more money than what the budget calculated. If it's a negative number, you have less money than what the budget calculated. Add to the category "Unknown" to make all cells equal 0.00.</t>
        </r>
      </text>
    </comment>
  </commentList>
</comments>
</file>

<file path=xl/connections.xml><?xml version="1.0" encoding="utf-8"?>
<connections xmlns="http://schemas.openxmlformats.org/spreadsheetml/2006/main">
  <connection id="1" keepAlive="1" name="Forespørgsel - posteringFil" description="Forbindelse til forespørgslen 'posteringFil' i projektmappen." type="5" refreshedVersion="6" background="1" refreshOnLoad="1" saveData="1">
    <dbPr connection="Provider=Microsoft.Mashup.OleDb.1;Data Source=$Workbook$;Location=posteringFil;Extended Properties=&quot;&quot;" command="SELECT * FROM [posteringFil]"/>
  </connection>
  <connection id="2" keepAlive="1" name="Forespørgsel - posteringFil (2)" description="Forbindelse til forespørgslen 'posteringFil (2)' i projektmappen." type="5" refreshedVersion="6" background="1" saveData="1">
    <dbPr connection="Provider=Microsoft.Mashup.OleDb.1;Data Source=$Workbook$;Location=posteringFil (2);Extended Properties=&quot;&quot;" command="SELECT * FROM [posteringFil (2)]"/>
  </connection>
</connections>
</file>

<file path=xl/sharedStrings.xml><?xml version="1.0" encoding="utf-8"?>
<sst xmlns="http://schemas.openxmlformats.org/spreadsheetml/2006/main" count="687" uniqueCount="118">
  <si>
    <t>Beskrivelse</t>
  </si>
  <si>
    <t>Beløb</t>
  </si>
  <si>
    <t>Kategori</t>
  </si>
  <si>
    <t>Dato</t>
  </si>
  <si>
    <t>Type</t>
  </si>
  <si>
    <t>Indtægt</t>
  </si>
  <si>
    <t>Mad</t>
  </si>
  <si>
    <t>Udgift</t>
  </si>
  <si>
    <t>Andet</t>
  </si>
  <si>
    <t>SU</t>
  </si>
  <si>
    <t>Tilfældig postering nr. 0</t>
  </si>
  <si>
    <t>Arbejde</t>
  </si>
  <si>
    <t>Tilfældig postering nr. 1</t>
  </si>
  <si>
    <t>Tilfældig postering nr. 2</t>
  </si>
  <si>
    <t>Skole</t>
  </si>
  <si>
    <t>Tilfældig postering nr. 3</t>
  </si>
  <si>
    <t>Tilfældig postering nr. 4</t>
  </si>
  <si>
    <t>Tilfældig postering nr. 5</t>
  </si>
  <si>
    <t>Gaver I</t>
  </si>
  <si>
    <t>Tilfældig postering nr. 6</t>
  </si>
  <si>
    <t>Tilfældig postering nr. 7</t>
  </si>
  <si>
    <t>Tilfældig postering nr. 8</t>
  </si>
  <si>
    <t>Tilfældig postering nr. 9</t>
  </si>
  <si>
    <t>Tilfældig postering nr. 10</t>
  </si>
  <si>
    <t>Tilfældig postering nr. 11</t>
  </si>
  <si>
    <t>Tøj</t>
  </si>
  <si>
    <t>Tilfældig postering nr. 12</t>
  </si>
  <si>
    <t>Tilfældig postering nr. 13</t>
  </si>
  <si>
    <t>Tilfældig postering nr. 14</t>
  </si>
  <si>
    <t>Gaver</t>
  </si>
  <si>
    <t>Tilfældig postering nr. 15</t>
  </si>
  <si>
    <t>Telefon</t>
  </si>
  <si>
    <t>Tilfældig postering nr. 16</t>
  </si>
  <si>
    <t>Tilfældig postering nr. 17</t>
  </si>
  <si>
    <t>Sjov</t>
  </si>
  <si>
    <t>Tilfældig postering nr. 18</t>
  </si>
  <si>
    <t>Tilfældig postering nr. 19</t>
  </si>
  <si>
    <t>Tilfældig postering nr. 20</t>
  </si>
  <si>
    <t>Tilfældig postering nr. 21</t>
  </si>
  <si>
    <t>Tilfældig postering nr. 22</t>
  </si>
  <si>
    <t>Tilfældig postering nr. 23</t>
  </si>
  <si>
    <t>Tilfældig postering nr. 24</t>
  </si>
  <si>
    <t>Tilfældig postering nr. 25</t>
  </si>
  <si>
    <t>Tilfældig postering nr. 26</t>
  </si>
  <si>
    <t>Tilfældig postering nr. 27</t>
  </si>
  <si>
    <t>Tilfældig postering nr. 28</t>
  </si>
  <si>
    <t>Tilfældig postering nr. 29</t>
  </si>
  <si>
    <t>Tilfældig postering nr. 30</t>
  </si>
  <si>
    <t>Tilfældig postering nr. 31</t>
  </si>
  <si>
    <t>Tilfældig postering nr. 32</t>
  </si>
  <si>
    <t>Tilfældig postering nr. 33</t>
  </si>
  <si>
    <t>Tilfældig postering nr. 34</t>
  </si>
  <si>
    <t>Tilfældig postering nr. 35</t>
  </si>
  <si>
    <t>Tilfældig postering nr. 36</t>
  </si>
  <si>
    <t>Tilfældig postering nr. 37</t>
  </si>
  <si>
    <t>Tilfældig postering nr. 38</t>
  </si>
  <si>
    <t>Tilfældig postering nr. 39</t>
  </si>
  <si>
    <t>Tilfældig postering nr. 40</t>
  </si>
  <si>
    <t>Tilfældig postering nr. 41</t>
  </si>
  <si>
    <t>Tilfældig postering nr. 42</t>
  </si>
  <si>
    <t>Tilfældig postering nr. 43</t>
  </si>
  <si>
    <t>Tilfældig postering nr. 44</t>
  </si>
  <si>
    <t>Tilfældig postering nr. 45</t>
  </si>
  <si>
    <t>Tilfældig postering nr. 46</t>
  </si>
  <si>
    <t>Tilfældig postering nr. 47</t>
  </si>
  <si>
    <t>Tilfældig postering nr. 48</t>
  </si>
  <si>
    <t>Tilfældig postering nr. 49</t>
  </si>
  <si>
    <t>Hverdag</t>
  </si>
  <si>
    <t>Budget 2016</t>
  </si>
  <si>
    <t>Januar</t>
  </si>
  <si>
    <t>Februar</t>
  </si>
  <si>
    <t>Marts</t>
  </si>
  <si>
    <t>April</t>
  </si>
  <si>
    <t>Maj</t>
  </si>
  <si>
    <t>Juni</t>
  </si>
  <si>
    <t>Juli</t>
  </si>
  <si>
    <t>August</t>
  </si>
  <si>
    <t>September</t>
  </si>
  <si>
    <t>Oktober</t>
  </si>
  <si>
    <t>November</t>
  </si>
  <si>
    <t>December</t>
  </si>
  <si>
    <t>Total</t>
  </si>
  <si>
    <t>Procent</t>
  </si>
  <si>
    <t>Genm. Måned</t>
  </si>
  <si>
    <t>Ting til tilbagebetaling</t>
  </si>
  <si>
    <t>N/A</t>
  </si>
  <si>
    <t>Tilbagebetaling</t>
  </si>
  <si>
    <t>Overskud</t>
  </si>
  <si>
    <t>Penge</t>
  </si>
  <si>
    <t>i slutningen af…</t>
  </si>
  <si>
    <t>Bank</t>
  </si>
  <si>
    <t>Master</t>
  </si>
  <si>
    <t>Paypal</t>
  </si>
  <si>
    <t>Cash</t>
  </si>
  <si>
    <t>Forskel</t>
  </si>
  <si>
    <t>Andet / store køb</t>
  </si>
  <si>
    <t>Sum of Beløb</t>
  </si>
  <si>
    <t>jan</t>
  </si>
  <si>
    <t>mar</t>
  </si>
  <si>
    <t>apr</t>
  </si>
  <si>
    <t>maj</t>
  </si>
  <si>
    <t>jun</t>
  </si>
  <si>
    <t>jul</t>
  </si>
  <si>
    <t>aug</t>
  </si>
  <si>
    <t>321</t>
  </si>
  <si>
    <t>Løn</t>
  </si>
  <si>
    <t>hej</t>
  </si>
  <si>
    <t>Kolonnenavne</t>
  </si>
  <si>
    <t>Rækkenavne</t>
  </si>
  <si>
    <t>Hovedtotal</t>
  </si>
  <si>
    <t>Column1</t>
  </si>
  <si>
    <t>Column2</t>
  </si>
  <si>
    <t>Column3</t>
  </si>
  <si>
    <t>Column4</t>
  </si>
  <si>
    <t>Column5</t>
  </si>
  <si>
    <t>3</t>
  </si>
  <si>
    <t>Coke</t>
  </si>
  <si>
    <t>Hussling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</si>
</sst>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[$kr.-406]\ * #,##0.00_ ;_ [$kr.-406]\ * \-#,##0.00_ ;_ [$kr.-406]\ * &quot;-&quot;??_ ;_ @_ 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0"/>
      <color rgb="FF00CBD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rgb="FFD529BC"/>
      <name val="Calibri"/>
      <family val="2"/>
      <scheme val="minor"/>
    </font>
    <font>
      <sz val="36"/>
      <color rgb="FF212121"/>
      <name val="Arial"/>
      <family val="2"/>
    </font>
    <font>
      <sz val="8"/>
      <color rgb="FF000000"/>
      <name val="Verdana"/>
      <family val="2"/>
    </font>
    <font>
      <sz val="9"/>
      <color indexed="81"/>
      <name val="Tahoma"/>
      <family val="2"/>
    </font>
    <font>
      <sz val="11"/>
      <color rgb="FF272727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00CBD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NumberFormat="1"/>
    <xf numFmtId="22" fontId="0" fillId="0" borderId="0" xfId="0" applyNumberFormat="1"/>
    <xf numFmtId="2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3" fillId="0" borderId="2" xfId="0" applyFont="1" applyBorder="1"/>
    <xf numFmtId="0" fontId="4" fillId="0" borderId="2" xfId="0" applyFont="1" applyBorder="1"/>
    <xf numFmtId="0" fontId="0" fillId="0" borderId="0" xfId="0" applyBorder="1"/>
    <xf numFmtId="0" fontId="5" fillId="0" borderId="0" xfId="0" applyFont="1" applyBorder="1" applyAlignment="1">
      <alignment wrapText="1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14" fontId="7" fillId="0" borderId="0" xfId="0" applyNumberFormat="1" applyFont="1" applyFill="1" applyBorder="1"/>
    <xf numFmtId="164" fontId="0" fillId="0" borderId="2" xfId="0" applyNumberFormat="1" applyFill="1" applyBorder="1" applyAlignment="1">
      <alignment horizontal="center"/>
    </xf>
    <xf numFmtId="164" fontId="8" fillId="0" borderId="2" xfId="0" applyNumberFormat="1" applyFont="1" applyFill="1" applyBorder="1" applyAlignment="1">
      <alignment horizontal="center"/>
    </xf>
    <xf numFmtId="9" fontId="0" fillId="0" borderId="2" xfId="1" applyFont="1" applyBorder="1"/>
    <xf numFmtId="164" fontId="0" fillId="0" borderId="2" xfId="0" applyNumberFormat="1" applyBorder="1"/>
    <xf numFmtId="0" fontId="0" fillId="0" borderId="0" xfId="0" applyFill="1" applyBorder="1"/>
    <xf numFmtId="164" fontId="0" fillId="0" borderId="2" xfId="0" applyNumberFormat="1" applyBorder="1" applyAlignment="1">
      <alignment horizontal="center"/>
    </xf>
    <xf numFmtId="9" fontId="0" fillId="0" borderId="2" xfId="1" applyFont="1" applyBorder="1" applyAlignment="1">
      <alignment horizontal="right"/>
    </xf>
    <xf numFmtId="164" fontId="0" fillId="0" borderId="2" xfId="1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3" fillId="0" borderId="4" xfId="0" applyFont="1" applyFill="1" applyBorder="1"/>
    <xf numFmtId="0" fontId="9" fillId="0" borderId="4" xfId="0" applyFont="1" applyBorder="1"/>
    <xf numFmtId="0" fontId="0" fillId="0" borderId="2" xfId="0" applyBorder="1" applyAlignment="1">
      <alignment horizontal="right"/>
    </xf>
    <xf numFmtId="164" fontId="0" fillId="0" borderId="2" xfId="1" applyNumberFormat="1" applyFont="1" applyBorder="1" applyAlignment="1">
      <alignment horizontal="center"/>
    </xf>
    <xf numFmtId="0" fontId="3" fillId="0" borderId="4" xfId="0" applyFont="1" applyBorder="1"/>
    <xf numFmtId="0" fontId="0" fillId="0" borderId="4" xfId="0" applyBorder="1"/>
    <xf numFmtId="0" fontId="0" fillId="2" borderId="5" xfId="0" applyFont="1" applyFill="1" applyBorder="1" applyAlignment="1">
      <alignment horizontal="center"/>
    </xf>
    <xf numFmtId="164" fontId="0" fillId="0" borderId="2" xfId="0" applyNumberFormat="1" applyFill="1" applyBorder="1" applyAlignment="1"/>
    <xf numFmtId="164" fontId="8" fillId="0" borderId="4" xfId="0" applyNumberFormat="1" applyFont="1" applyFill="1" applyBorder="1" applyAlignment="1"/>
    <xf numFmtId="0" fontId="0" fillId="0" borderId="0" xfId="0" applyFill="1"/>
    <xf numFmtId="0" fontId="6" fillId="2" borderId="3" xfId="0" applyFont="1" applyFill="1" applyBorder="1" applyAlignment="1">
      <alignment horizontal="center"/>
    </xf>
    <xf numFmtId="0" fontId="10" fillId="0" borderId="0" xfId="0" applyFont="1" applyFill="1" applyBorder="1"/>
    <xf numFmtId="164" fontId="7" fillId="0" borderId="2" xfId="0" applyNumberFormat="1" applyFont="1" applyFill="1" applyBorder="1" applyAlignment="1">
      <alignment horizontal="center"/>
    </xf>
    <xf numFmtId="164" fontId="10" fillId="0" borderId="0" xfId="0" applyNumberFormat="1" applyFont="1" applyFill="1" applyBorder="1"/>
    <xf numFmtId="0" fontId="10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2" fillId="0" borderId="0" xfId="0" applyFont="1" applyAlignment="1">
      <alignment vertical="center"/>
    </xf>
    <xf numFmtId="0" fontId="14" fillId="0" borderId="0" xfId="0" applyFont="1" applyAlignment="1">
      <alignment horizontal="left" vertical="center" indent="1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11" fillId="0" borderId="0" xfId="0" quotePrefix="1" applyNumberFormat="1" applyFont="1" applyAlignment="1">
      <alignment horizontal="center"/>
    </xf>
  </cellXfs>
  <cellStyles count="2">
    <cellStyle name="Normal" xfId="0" builtinId="0"/>
    <cellStyle name="Procent" xfId="1" builtinId="5"/>
  </cellStyles>
  <dxfs count="6">
    <dxf>
      <numFmt numFmtId="27" formatCode="m/d/yyyy\ h:mm"/>
    </dxf>
    <dxf>
      <numFmt numFmtId="0" formatCode="General"/>
    </dxf>
    <dxf>
      <numFmt numFmtId="165" formatCode="m/d/yyyy\ h:mm"/>
    </dxf>
    <dxf>
      <numFmt numFmtId="0" formatCode="General"/>
    </dxf>
    <dxf>
      <numFmt numFmtId="2" formatCode="0.0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uger" refreshedDate="42663.350513773148" createdVersion="6" refreshedVersion="6" minRefreshableVersion="3" recordCount="50">
  <cacheSource type="worksheet">
    <worksheetSource name="posteringFil"/>
  </cacheSource>
  <cacheFields count="6">
    <cacheField name="Beskrivelse" numFmtId="0">
      <sharedItems/>
    </cacheField>
    <cacheField name="Beløb" numFmtId="2">
      <sharedItems containsSemiMixedTypes="0" containsString="0" containsNumber="1" containsInteger="1" minValue="18" maxValue="1950"/>
    </cacheField>
    <cacheField name="Kategori" numFmtId="0">
      <sharedItems count="17">
        <s v="Mad"/>
        <s v="321"/>
        <s v="Løn"/>
        <s v="hej"/>
        <s v="Tøj" u="1"/>
        <s v="Skole" u="1"/>
        <s v="Andet" u="1"/>
        <s v="Gaver I" u="1"/>
        <s v="ny" u="1"/>
        <s v="SU" u="1"/>
        <s v="Hverdag" u="1"/>
        <s v="Sjov" u="1"/>
        <s v="Abonnementer" u="1"/>
        <s v="Arbejde" u="1"/>
        <s v="Telefon" u="1"/>
        <s v="Andet / Store Køb" u="1"/>
        <s v="Gaver" u="1"/>
      </sharedItems>
    </cacheField>
    <cacheField name="Dato" numFmtId="22">
      <sharedItems containsSemiMixedTypes="0" containsNonDate="0" containsDate="1" containsString="0" minDate="2016-01-14T00:00:00" maxDate="2016-08-03T00:00:00" count="9">
        <d v="2016-01-27T00:00:00"/>
        <d v="2016-08-02T00:00:00"/>
        <d v="2016-03-11T00:00:00"/>
        <d v="2016-05-30T00:00:00"/>
        <d v="2016-04-24T00:00:00"/>
        <d v="2016-07-13T00:00:00"/>
        <d v="2016-06-06T00:00:00"/>
        <d v="2016-01-14T00:00:00"/>
        <d v="2016-04-04T00:00:00"/>
      </sharedItems>
      <fieldGroup par="5" base="3">
        <rangePr groupBy="days" startDate="2016-01-14T00:00:00" endDate="2016-08-03T00:00:00"/>
        <groupItems count="368">
          <s v="&lt;14-01-2016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j"/>
          <s v="02-maj"/>
          <s v="03-maj"/>
          <s v="04-maj"/>
          <s v="05-maj"/>
          <s v="06-maj"/>
          <s v="07-maj"/>
          <s v="08-maj"/>
          <s v="09-maj"/>
          <s v="10-maj"/>
          <s v="11-maj"/>
          <s v="12-maj"/>
          <s v="13-maj"/>
          <s v="14-maj"/>
          <s v="15-maj"/>
          <s v="16-maj"/>
          <s v="17-maj"/>
          <s v="18-maj"/>
          <s v="19-maj"/>
          <s v="20-maj"/>
          <s v="21-maj"/>
          <s v="22-maj"/>
          <s v="23-maj"/>
          <s v="24-maj"/>
          <s v="25-maj"/>
          <s v="26-maj"/>
          <s v="27-maj"/>
          <s v="28-maj"/>
          <s v="29-maj"/>
          <s v="30-maj"/>
          <s v="31-maj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kt"/>
          <s v="02-okt"/>
          <s v="03-okt"/>
          <s v="04-okt"/>
          <s v="05-okt"/>
          <s v="06-okt"/>
          <s v="07-okt"/>
          <s v="08-okt"/>
          <s v="09-okt"/>
          <s v="10-okt"/>
          <s v="11-okt"/>
          <s v="12-okt"/>
          <s v="13-okt"/>
          <s v="14-okt"/>
          <s v="15-okt"/>
          <s v="16-okt"/>
          <s v="17-okt"/>
          <s v="18-okt"/>
          <s v="19-okt"/>
          <s v="20-okt"/>
          <s v="21-okt"/>
          <s v="22-okt"/>
          <s v="23-okt"/>
          <s v="24-okt"/>
          <s v="25-okt"/>
          <s v="26-okt"/>
          <s v="27-okt"/>
          <s v="28-okt"/>
          <s v="29-okt"/>
          <s v="30-okt"/>
          <s v="31-ok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3-08-2016"/>
        </groupItems>
      </fieldGroup>
    </cacheField>
    <cacheField name="Type" numFmtId="0">
      <sharedItems count="2">
        <s v="Indtægt"/>
        <s v="Udgift"/>
      </sharedItems>
    </cacheField>
    <cacheField name="Months" numFmtId="0" databaseField="0">
      <fieldGroup base="3">
        <rangePr groupBy="months" startDate="2016-01-14T00:00:00" endDate="2016-08-03T00:00:00"/>
        <groupItems count="14">
          <s v="&lt;14-01-2016"/>
          <s v="jan"/>
          <s v="feb"/>
          <s v="mar"/>
          <s v="apr"/>
          <s v="maj"/>
          <s v="jun"/>
          <s v="jul"/>
          <s v="aug"/>
          <s v="sep"/>
          <s v="okt"/>
          <s v="nov"/>
          <s v="dec"/>
          <s v="&gt;03-08-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Tilfældig postering nr. 0"/>
    <n v="1582"/>
    <x v="0"/>
    <x v="0"/>
    <x v="0"/>
  </r>
  <r>
    <s v="Tilfældig postering nr. 1"/>
    <n v="1684"/>
    <x v="1"/>
    <x v="0"/>
    <x v="1"/>
  </r>
  <r>
    <s v="Tilfældig postering nr. 2"/>
    <n v="1861"/>
    <x v="2"/>
    <x v="0"/>
    <x v="0"/>
  </r>
  <r>
    <s v="Tilfældig postering nr. 3"/>
    <n v="1929"/>
    <x v="3"/>
    <x v="0"/>
    <x v="1"/>
  </r>
  <r>
    <s v="Tilfældig postering nr. 4"/>
    <n v="1822"/>
    <x v="0"/>
    <x v="0"/>
    <x v="0"/>
  </r>
  <r>
    <s v="Tilfældig postering nr. 5"/>
    <n v="1060"/>
    <x v="2"/>
    <x v="0"/>
    <x v="0"/>
  </r>
  <r>
    <s v="Tilfældig postering nr. 6"/>
    <n v="959"/>
    <x v="2"/>
    <x v="0"/>
    <x v="0"/>
  </r>
  <r>
    <s v="Tilfældig postering nr. 7"/>
    <n v="157"/>
    <x v="1"/>
    <x v="1"/>
    <x v="1"/>
  </r>
  <r>
    <s v="Tilfældig postering nr. 8"/>
    <n v="1517"/>
    <x v="1"/>
    <x v="1"/>
    <x v="1"/>
  </r>
  <r>
    <s v="Tilfældig postering nr. 9"/>
    <n v="1629"/>
    <x v="0"/>
    <x v="1"/>
    <x v="0"/>
  </r>
  <r>
    <s v="Tilfældig postering nr. 10"/>
    <n v="235"/>
    <x v="3"/>
    <x v="1"/>
    <x v="1"/>
  </r>
  <r>
    <s v="Tilfældig postering nr. 11"/>
    <n v="98"/>
    <x v="0"/>
    <x v="1"/>
    <x v="0"/>
  </r>
  <r>
    <s v="Tilfældig postering nr. 12"/>
    <n v="706"/>
    <x v="0"/>
    <x v="1"/>
    <x v="0"/>
  </r>
  <r>
    <s v="Tilfældig postering nr. 13"/>
    <n v="888"/>
    <x v="3"/>
    <x v="2"/>
    <x v="1"/>
  </r>
  <r>
    <s v="Tilfældig postering nr. 14"/>
    <n v="810"/>
    <x v="3"/>
    <x v="2"/>
    <x v="1"/>
  </r>
  <r>
    <s v="Tilfældig postering nr. 15"/>
    <n v="705"/>
    <x v="1"/>
    <x v="2"/>
    <x v="1"/>
  </r>
  <r>
    <s v="Tilfældig postering nr. 16"/>
    <n v="1717"/>
    <x v="0"/>
    <x v="2"/>
    <x v="0"/>
  </r>
  <r>
    <s v="Tilfældig postering nr. 17"/>
    <n v="18"/>
    <x v="2"/>
    <x v="2"/>
    <x v="0"/>
  </r>
  <r>
    <s v="Tilfældig postering nr. 18"/>
    <n v="1227"/>
    <x v="2"/>
    <x v="2"/>
    <x v="0"/>
  </r>
  <r>
    <s v="Tilfældig postering nr. 19"/>
    <n v="1600"/>
    <x v="3"/>
    <x v="2"/>
    <x v="1"/>
  </r>
  <r>
    <s v="Tilfældig postering nr. 20"/>
    <n v="315"/>
    <x v="3"/>
    <x v="3"/>
    <x v="1"/>
  </r>
  <r>
    <s v="Tilfældig postering nr. 21"/>
    <n v="267"/>
    <x v="3"/>
    <x v="3"/>
    <x v="1"/>
  </r>
  <r>
    <s v="Tilfældig postering nr. 22"/>
    <n v="1170"/>
    <x v="3"/>
    <x v="3"/>
    <x v="1"/>
  </r>
  <r>
    <s v="Tilfældig postering nr. 23"/>
    <n v="1928"/>
    <x v="2"/>
    <x v="3"/>
    <x v="0"/>
  </r>
  <r>
    <s v="Tilfældig postering nr. 24"/>
    <n v="906"/>
    <x v="1"/>
    <x v="3"/>
    <x v="1"/>
  </r>
  <r>
    <s v="Tilfældig postering nr. 25"/>
    <n v="1228"/>
    <x v="3"/>
    <x v="3"/>
    <x v="1"/>
  </r>
  <r>
    <s v="Tilfældig postering nr. 26"/>
    <n v="1803"/>
    <x v="3"/>
    <x v="4"/>
    <x v="1"/>
  </r>
  <r>
    <s v="Tilfældig postering nr. 27"/>
    <n v="1835"/>
    <x v="0"/>
    <x v="4"/>
    <x v="0"/>
  </r>
  <r>
    <s v="Tilfældig postering nr. 28"/>
    <n v="399"/>
    <x v="2"/>
    <x v="4"/>
    <x v="0"/>
  </r>
  <r>
    <s v="Tilfældig postering nr. 29"/>
    <n v="204"/>
    <x v="2"/>
    <x v="4"/>
    <x v="0"/>
  </r>
  <r>
    <s v="Tilfældig postering nr. 30"/>
    <n v="687"/>
    <x v="3"/>
    <x v="4"/>
    <x v="1"/>
  </r>
  <r>
    <s v="Tilfældig postering nr. 31"/>
    <n v="1406"/>
    <x v="0"/>
    <x v="4"/>
    <x v="0"/>
  </r>
  <r>
    <s v="Tilfældig postering nr. 32"/>
    <n v="1299"/>
    <x v="0"/>
    <x v="5"/>
    <x v="0"/>
  </r>
  <r>
    <s v="Tilfældig postering nr. 33"/>
    <n v="131"/>
    <x v="3"/>
    <x v="5"/>
    <x v="1"/>
  </r>
  <r>
    <s v="Tilfældig postering nr. 34"/>
    <n v="1454"/>
    <x v="3"/>
    <x v="5"/>
    <x v="1"/>
  </r>
  <r>
    <s v="Tilfældig postering nr. 35"/>
    <n v="189"/>
    <x v="0"/>
    <x v="5"/>
    <x v="0"/>
  </r>
  <r>
    <s v="Tilfældig postering nr. 36"/>
    <n v="1950"/>
    <x v="3"/>
    <x v="6"/>
    <x v="1"/>
  </r>
  <r>
    <s v="Tilfældig postering nr. 37"/>
    <n v="999"/>
    <x v="3"/>
    <x v="6"/>
    <x v="1"/>
  </r>
  <r>
    <s v="Tilfældig postering nr. 38"/>
    <n v="1939"/>
    <x v="2"/>
    <x v="6"/>
    <x v="0"/>
  </r>
  <r>
    <s v="Tilfældig postering nr. 39"/>
    <n v="1699"/>
    <x v="0"/>
    <x v="6"/>
    <x v="0"/>
  </r>
  <r>
    <s v="Tilfældig postering nr. 40"/>
    <n v="230"/>
    <x v="2"/>
    <x v="6"/>
    <x v="0"/>
  </r>
  <r>
    <s v="Tilfældig postering nr. 41"/>
    <n v="357"/>
    <x v="1"/>
    <x v="6"/>
    <x v="1"/>
  </r>
  <r>
    <s v="Tilfældig postering nr. 42"/>
    <n v="852"/>
    <x v="1"/>
    <x v="7"/>
    <x v="1"/>
  </r>
  <r>
    <s v="Tilfældig postering nr. 43"/>
    <n v="1355"/>
    <x v="2"/>
    <x v="7"/>
    <x v="0"/>
  </r>
  <r>
    <s v="Tilfældig postering nr. 44"/>
    <n v="970"/>
    <x v="3"/>
    <x v="7"/>
    <x v="1"/>
  </r>
  <r>
    <s v="Tilfældig postering nr. 45"/>
    <n v="1816"/>
    <x v="0"/>
    <x v="7"/>
    <x v="0"/>
  </r>
  <r>
    <s v="Tilfældig postering nr. 46"/>
    <n v="181"/>
    <x v="3"/>
    <x v="7"/>
    <x v="1"/>
  </r>
  <r>
    <s v="Tilfældig postering nr. 47"/>
    <n v="480"/>
    <x v="3"/>
    <x v="8"/>
    <x v="1"/>
  </r>
  <r>
    <s v="Tilfældig postering nr. 48"/>
    <n v="399"/>
    <x v="3"/>
    <x v="8"/>
    <x v="1"/>
  </r>
  <r>
    <s v="Tilfældig postering nr. 49"/>
    <n v="627"/>
    <x v="3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I7" firstHeaderRow="1" firstDataRow="2" firstDataCol="1" rowPageCount="1" colPageCount="1"/>
  <pivotFields count="6">
    <pivotField showAll="0"/>
    <pivotField dataField="1" numFmtId="2" showAll="0"/>
    <pivotField axis="axisRow" showAll="0">
      <items count="18">
        <item x="1"/>
        <item m="1" x="12"/>
        <item m="1" x="6"/>
        <item m="1" x="15"/>
        <item m="1" x="13"/>
        <item m="1" x="16"/>
        <item m="1" x="7"/>
        <item x="3"/>
        <item m="1" x="10"/>
        <item x="2"/>
        <item x="0"/>
        <item m="1" x="8"/>
        <item m="1" x="11"/>
        <item m="1" x="5"/>
        <item m="1" x="9"/>
        <item m="1" x="14"/>
        <item m="1" x="4"/>
        <item t="default"/>
      </items>
    </pivotField>
    <pivotField numFmtId="22" showAll="0"/>
    <pivotField axis="axisPage" showAll="0">
      <items count="3">
        <item x="0"/>
        <item x="1"/>
        <item t="default"/>
      </items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3">
    <i>
      <x/>
    </i>
    <i>
      <x v="7"/>
    </i>
    <i t="grand">
      <x/>
    </i>
  </rowItems>
  <colFields count="1">
    <field x="5"/>
  </colFields>
  <colItems count="8">
    <i>
      <x v="1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4" item="1" hier="-1"/>
  </pageFields>
  <dataFields count="1">
    <dataField name="Sum of Beløb" fld="1" baseField="0" baseItem="0"/>
  </dataFields>
  <chartFormats count="7">
    <chartFormat chart="0" format="0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5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6"/>
          </reference>
        </references>
      </pivotArea>
    </chartFormat>
    <chartFormat chart="0" format="5" series="1">
      <pivotArea type="data" outline="0" fieldPosition="0">
        <references count="1">
          <reference field="5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5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I7" firstHeaderRow="1" firstDataRow="2" firstDataCol="1" rowPageCount="1" colPageCount="1"/>
  <pivotFields count="6">
    <pivotField showAll="0"/>
    <pivotField dataField="1" numFmtId="2" showAll="0"/>
    <pivotField axis="axisRow" showAll="0">
      <items count="18">
        <item x="1"/>
        <item m="1" x="12"/>
        <item m="1" x="6"/>
        <item m="1" x="15"/>
        <item m="1" x="13"/>
        <item m="1" x="16"/>
        <item m="1" x="7"/>
        <item x="3"/>
        <item m="1" x="10"/>
        <item x="2"/>
        <item x="0"/>
        <item m="1" x="8"/>
        <item m="1" x="11"/>
        <item m="1" x="5"/>
        <item m="1" x="9"/>
        <item m="1" x="14"/>
        <item m="1" x="4"/>
        <item t="default"/>
      </items>
    </pivotField>
    <pivotField numFmtId="22" showAll="0"/>
    <pivotField axis="axisPage" multipleItemSelectionAllowed="1" showAll="0">
      <items count="3">
        <item x="0"/>
        <item h="1" x="1"/>
        <item t="default"/>
      </items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3">
    <i>
      <x v="9"/>
    </i>
    <i>
      <x v="10"/>
    </i>
    <i t="grand">
      <x/>
    </i>
  </rowItems>
  <colFields count="1">
    <field x="5"/>
  </colFields>
  <colItems count="8">
    <i>
      <x v="1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4" hier="-1"/>
  </pageFields>
  <dataFields count="1">
    <dataField name="Sum of Beløb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ksterneData_1" refreshOnLoad="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Beskrivelse" tableColumnId="6"/>
      <queryTableField id="2" name="Beløb" tableColumnId="7"/>
      <queryTableField id="3" name="Kategori" tableColumnId="8"/>
      <queryTableField id="4" name="Dato" tableColumnId="9"/>
      <queryTableField id="5" name="Type" tableColumnId="10"/>
    </queryTableFields>
  </queryTableRefresh>
</queryTable>
</file>

<file path=xl/queryTables/queryTable2.xml><?xml version="1.0" encoding="utf-8"?>
<queryTable xmlns="http://schemas.openxmlformats.org/spreadsheetml/2006/main" name="EksterneData_1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posteringFil" displayName="posteringFil" ref="A1:E52" tableType="queryTable" totalsRowCount="1">
  <autoFilter ref="A1:E51"/>
  <tableColumns count="5">
    <tableColumn id="6" uniqueName="6" name="Beskrivelse" totalsRowLabel="Total" queryTableFieldId="1" dataDxfId="5"/>
    <tableColumn id="7" uniqueName="7" name="Beløb" queryTableFieldId="2" dataDxfId="4"/>
    <tableColumn id="8" uniqueName="8" name="Kategori" queryTableFieldId="3" dataDxfId="3"/>
    <tableColumn id="9" uniqueName="9" name="Dato" queryTableFieldId="4" dataDxfId="2"/>
    <tableColumn id="10" uniqueName="10" name="Type" totalsRowFunction="count" queryTableFieldId="5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posteringFil__2" displayName="posteringFil__2" ref="A1:E202" tableType="queryTable" totalsRowShown="0">
  <autoFilter ref="A1:E202"/>
  <tableColumns count="5">
    <tableColumn id="1" uniqueName="1" name="Column1" queryTableFieldId="1"/>
    <tableColumn id="2" uniqueName="2" name="Column2" queryTableFieldId="2"/>
    <tableColumn id="3" uniqueName="3" name="Column3" queryTableFieldId="3"/>
    <tableColumn id="4" uniqueName="4" name="Column4" queryTableFieldId="4" dataDxfId="0"/>
    <tableColumn id="5" uniqueName="5" name="Column5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125"/>
  <sheetViews>
    <sheetView tabSelected="1" workbookViewId="0">
      <selection activeCell="F32" sqref="F32"/>
    </sheetView>
  </sheetViews>
  <sheetFormatPr defaultRowHeight="15" x14ac:dyDescent="0.25"/>
  <cols>
    <col min="1" max="1" width="4.375" customWidth="1"/>
    <col min="2" max="2" width="11.125" customWidth="1"/>
    <col min="3" max="3" width="15.75" customWidth="1"/>
    <col min="4" max="16" width="14.375" customWidth="1"/>
    <col min="17" max="17" width="7.375" customWidth="1"/>
    <col min="18" max="18" width="14.25" customWidth="1"/>
    <col min="19" max="19" width="11.875" customWidth="1"/>
  </cols>
  <sheetData>
    <row r="1" spans="2:19" ht="36" x14ac:dyDescent="0.55000000000000004">
      <c r="B1" s="45" t="s">
        <v>68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</row>
    <row r="2" spans="2:19" ht="6.75" customHeight="1" x14ac:dyDescent="0.25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6"/>
    </row>
    <row r="3" spans="2:19" ht="26.25" customHeight="1" x14ac:dyDescent="0.4">
      <c r="B3" s="7" t="s">
        <v>7</v>
      </c>
      <c r="C3" s="8"/>
      <c r="D3" s="9"/>
      <c r="E3" s="9"/>
      <c r="F3" s="9"/>
      <c r="G3" s="9"/>
      <c r="H3" s="9"/>
      <c r="I3" s="10"/>
      <c r="J3" s="9"/>
      <c r="K3" s="9"/>
      <c r="L3" s="9"/>
      <c r="M3" s="9"/>
      <c r="N3" s="9"/>
      <c r="O3" s="9"/>
      <c r="P3" s="9"/>
    </row>
    <row r="4" spans="2:19" ht="18.75" customHeight="1" x14ac:dyDescent="0.3">
      <c r="B4" s="9"/>
      <c r="C4" s="9"/>
      <c r="D4" s="11" t="s">
        <v>69</v>
      </c>
      <c r="E4" s="12" t="s">
        <v>70</v>
      </c>
      <c r="F4" s="12" t="s">
        <v>71</v>
      </c>
      <c r="G4" s="12" t="s">
        <v>72</v>
      </c>
      <c r="H4" s="12" t="s">
        <v>73</v>
      </c>
      <c r="I4" s="12" t="s">
        <v>74</v>
      </c>
      <c r="J4" s="12" t="s">
        <v>75</v>
      </c>
      <c r="K4" s="12" t="s">
        <v>76</v>
      </c>
      <c r="L4" s="12" t="s">
        <v>77</v>
      </c>
      <c r="M4" s="12" t="s">
        <v>78</v>
      </c>
      <c r="N4" s="12" t="s">
        <v>79</v>
      </c>
      <c r="O4" s="12" t="s">
        <v>80</v>
      </c>
      <c r="P4" s="13" t="s">
        <v>81</v>
      </c>
      <c r="Q4" s="13" t="s">
        <v>82</v>
      </c>
      <c r="R4" s="14" t="s">
        <v>83</v>
      </c>
      <c r="S4" s="15"/>
    </row>
    <row r="5" spans="2:19" x14ac:dyDescent="0.25">
      <c r="B5" s="9" t="s">
        <v>29</v>
      </c>
      <c r="C5" s="9"/>
      <c r="P5" s="17">
        <f t="shared" ref="P5:P14" si="0">D5+E5+F5+G5+H5+I5+J5+K5+L5+M5+N5+O5</f>
        <v>0</v>
      </c>
      <c r="Q5" s="18" t="e">
        <f>P5/P$15</f>
        <v>#DIV/0!</v>
      </c>
      <c r="R5" s="19" t="e">
        <f>AVERAGE(D5:O5)</f>
        <v>#DIV/0!</v>
      </c>
      <c r="S5" s="15"/>
    </row>
    <row r="6" spans="2:19" x14ac:dyDescent="0.25">
      <c r="B6" s="20" t="s">
        <v>95</v>
      </c>
      <c r="C6" s="9"/>
      <c r="P6" s="17">
        <f t="shared" si="0"/>
        <v>0</v>
      </c>
      <c r="Q6" s="18" t="e">
        <f t="shared" ref="Q6:Q14" si="1">P6/P$15</f>
        <v>#DIV/0!</v>
      </c>
      <c r="R6" s="19" t="e">
        <f t="shared" ref="R6:R14" si="2">AVERAGE(D6:O6)</f>
        <v>#DIV/0!</v>
      </c>
      <c r="S6" s="15"/>
    </row>
    <row r="7" spans="2:19" x14ac:dyDescent="0.25">
      <c r="B7" s="9" t="s">
        <v>29</v>
      </c>
      <c r="C7" s="9"/>
      <c r="P7" s="17">
        <f t="shared" si="0"/>
        <v>0</v>
      </c>
      <c r="Q7" s="18" t="e">
        <f t="shared" si="1"/>
        <v>#DIV/0!</v>
      </c>
      <c r="R7" s="19" t="e">
        <f t="shared" si="2"/>
        <v>#DIV/0!</v>
      </c>
      <c r="S7" s="15"/>
    </row>
    <row r="8" spans="2:19" x14ac:dyDescent="0.25">
      <c r="B8" s="9" t="s">
        <v>67</v>
      </c>
      <c r="C8" s="9"/>
      <c r="P8" s="17">
        <f t="shared" si="0"/>
        <v>0</v>
      </c>
      <c r="Q8" s="18" t="e">
        <f t="shared" si="1"/>
        <v>#DIV/0!</v>
      </c>
      <c r="R8" s="19" t="e">
        <f t="shared" si="2"/>
        <v>#DIV/0!</v>
      </c>
      <c r="S8" s="15"/>
    </row>
    <row r="9" spans="2:19" x14ac:dyDescent="0.25">
      <c r="B9" s="9" t="s">
        <v>6</v>
      </c>
      <c r="C9" s="9"/>
      <c r="P9" s="17">
        <f t="shared" si="0"/>
        <v>0</v>
      </c>
      <c r="Q9" s="18" t="e">
        <f t="shared" si="1"/>
        <v>#DIV/0!</v>
      </c>
      <c r="R9" s="19" t="e">
        <f t="shared" si="2"/>
        <v>#DIV/0!</v>
      </c>
      <c r="S9" s="15"/>
    </row>
    <row r="10" spans="2:19" x14ac:dyDescent="0.25">
      <c r="B10" s="20" t="s">
        <v>34</v>
      </c>
      <c r="C10" s="9"/>
      <c r="P10" s="17">
        <f t="shared" si="0"/>
        <v>0</v>
      </c>
      <c r="Q10" s="18" t="e">
        <f t="shared" si="1"/>
        <v>#DIV/0!</v>
      </c>
      <c r="R10" s="19" t="e">
        <f t="shared" si="2"/>
        <v>#DIV/0!</v>
      </c>
      <c r="S10" s="15"/>
    </row>
    <row r="11" spans="2:19" x14ac:dyDescent="0.25">
      <c r="B11" s="9" t="s">
        <v>14</v>
      </c>
      <c r="C11" s="9"/>
      <c r="P11" s="17">
        <f t="shared" si="0"/>
        <v>0</v>
      </c>
      <c r="Q11" s="18" t="e">
        <f t="shared" si="1"/>
        <v>#DIV/0!</v>
      </c>
      <c r="R11" s="19" t="e">
        <f t="shared" si="2"/>
        <v>#DIV/0!</v>
      </c>
      <c r="S11" s="15"/>
    </row>
    <row r="12" spans="2:19" x14ac:dyDescent="0.25">
      <c r="B12" s="20" t="s">
        <v>31</v>
      </c>
      <c r="C12" s="9"/>
      <c r="P12" s="17">
        <f t="shared" si="0"/>
        <v>0</v>
      </c>
      <c r="Q12" s="18" t="e">
        <f t="shared" si="1"/>
        <v>#DIV/0!</v>
      </c>
      <c r="R12" s="19" t="e">
        <f t="shared" si="2"/>
        <v>#DIV/0!</v>
      </c>
      <c r="S12" s="15"/>
    </row>
    <row r="13" spans="2:19" ht="15" customHeight="1" x14ac:dyDescent="0.25">
      <c r="B13" s="20" t="s">
        <v>84</v>
      </c>
      <c r="C13" s="9"/>
      <c r="P13" s="17">
        <f t="shared" si="0"/>
        <v>0</v>
      </c>
      <c r="Q13" s="18" t="e">
        <f t="shared" si="1"/>
        <v>#DIV/0!</v>
      </c>
      <c r="R13" s="19" t="e">
        <f t="shared" si="2"/>
        <v>#DIV/0!</v>
      </c>
      <c r="S13" s="15"/>
    </row>
    <row r="14" spans="2:19" ht="15" customHeight="1" x14ac:dyDescent="0.25">
      <c r="B14" s="9" t="s">
        <v>25</v>
      </c>
      <c r="C14" s="9"/>
      <c r="P14" s="17">
        <f t="shared" si="0"/>
        <v>0</v>
      </c>
      <c r="Q14" s="18" t="e">
        <f t="shared" si="1"/>
        <v>#DIV/0!</v>
      </c>
      <c r="R14" s="19" t="e">
        <f t="shared" si="2"/>
        <v>#DIV/0!</v>
      </c>
      <c r="S14" s="15"/>
    </row>
    <row r="15" spans="2:19" x14ac:dyDescent="0.25">
      <c r="B15" s="9"/>
      <c r="C15" s="9" t="s">
        <v>81</v>
      </c>
      <c r="D15" s="21">
        <f t="shared" ref="D15:P15" si="3">SUM(D5:D14)</f>
        <v>0</v>
      </c>
      <c r="E15" s="21">
        <f t="shared" si="3"/>
        <v>0</v>
      </c>
      <c r="F15" s="21">
        <f t="shared" si="3"/>
        <v>0</v>
      </c>
      <c r="G15" s="21">
        <f t="shared" si="3"/>
        <v>0</v>
      </c>
      <c r="H15" s="21">
        <f t="shared" si="3"/>
        <v>0</v>
      </c>
      <c r="I15" s="21">
        <f t="shared" si="3"/>
        <v>0</v>
      </c>
      <c r="J15" s="21">
        <f t="shared" si="3"/>
        <v>0</v>
      </c>
      <c r="K15" s="21">
        <f t="shared" si="3"/>
        <v>0</v>
      </c>
      <c r="L15" s="21">
        <f t="shared" si="3"/>
        <v>0</v>
      </c>
      <c r="M15" s="21">
        <f t="shared" si="3"/>
        <v>0</v>
      </c>
      <c r="N15" s="21">
        <f t="shared" si="3"/>
        <v>0</v>
      </c>
      <c r="O15" s="21">
        <f t="shared" si="3"/>
        <v>0</v>
      </c>
      <c r="P15" s="17">
        <f t="shared" si="3"/>
        <v>0</v>
      </c>
      <c r="Q15" s="22" t="s">
        <v>85</v>
      </c>
      <c r="R15" s="23" t="e">
        <f>SUM(R5:R14)</f>
        <v>#DIV/0!</v>
      </c>
      <c r="S15" s="15"/>
    </row>
    <row r="16" spans="2:19" x14ac:dyDescent="0.25">
      <c r="B16" s="9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S16" s="15"/>
    </row>
    <row r="17" spans="2:19" ht="26.25" x14ac:dyDescent="0.4">
      <c r="B17" s="25" t="s">
        <v>5</v>
      </c>
      <c r="C17" s="26"/>
      <c r="S17" s="15"/>
    </row>
    <row r="18" spans="2:19" ht="18.75" x14ac:dyDescent="0.3">
      <c r="D18" s="11" t="s">
        <v>69</v>
      </c>
      <c r="E18" s="12" t="s">
        <v>70</v>
      </c>
      <c r="F18" s="12" t="s">
        <v>71</v>
      </c>
      <c r="G18" s="12" t="s">
        <v>72</v>
      </c>
      <c r="H18" s="12" t="s">
        <v>73</v>
      </c>
      <c r="I18" s="12" t="s">
        <v>74</v>
      </c>
      <c r="J18" s="12" t="s">
        <v>75</v>
      </c>
      <c r="K18" s="12" t="s">
        <v>76</v>
      </c>
      <c r="L18" s="12" t="s">
        <v>77</v>
      </c>
      <c r="M18" s="12" t="s">
        <v>78</v>
      </c>
      <c r="N18" s="12" t="s">
        <v>79</v>
      </c>
      <c r="O18" s="12" t="s">
        <v>80</v>
      </c>
      <c r="P18" s="13" t="s">
        <v>81</v>
      </c>
      <c r="Q18" s="13" t="s">
        <v>82</v>
      </c>
      <c r="R18" s="14" t="s">
        <v>83</v>
      </c>
      <c r="S18" s="15"/>
    </row>
    <row r="19" spans="2:19" x14ac:dyDescent="0.25">
      <c r="B19" t="s">
        <v>8</v>
      </c>
      <c r="P19" s="17">
        <f t="shared" ref="P19:P23" si="4">SUM(D19:O19)</f>
        <v>0</v>
      </c>
      <c r="Q19" s="18" t="e">
        <f>P19/P$24</f>
        <v>#DIV/0!</v>
      </c>
      <c r="R19" s="19" t="e">
        <f>AVERAGE(D19:O19)</f>
        <v>#DIV/0!</v>
      </c>
      <c r="S19" s="15"/>
    </row>
    <row r="20" spans="2:19" x14ac:dyDescent="0.25">
      <c r="B20" t="s">
        <v>11</v>
      </c>
      <c r="P20" s="17">
        <f t="shared" si="4"/>
        <v>0</v>
      </c>
      <c r="Q20" s="18" t="e">
        <f t="shared" ref="Q20:Q23" si="5">P20/P$24</f>
        <v>#DIV/0!</v>
      </c>
      <c r="R20" s="19" t="e">
        <f t="shared" ref="R20:R23" si="6">AVERAGE(D20:O20)</f>
        <v>#DIV/0!</v>
      </c>
      <c r="S20" s="15"/>
    </row>
    <row r="21" spans="2:19" x14ac:dyDescent="0.25">
      <c r="B21" t="s">
        <v>18</v>
      </c>
      <c r="P21" s="17">
        <f t="shared" si="4"/>
        <v>0</v>
      </c>
      <c r="Q21" s="18" t="e">
        <f t="shared" si="5"/>
        <v>#DIV/0!</v>
      </c>
      <c r="R21" s="19" t="e">
        <f t="shared" si="6"/>
        <v>#DIV/0!</v>
      </c>
      <c r="S21" s="15"/>
    </row>
    <row r="22" spans="2:19" x14ac:dyDescent="0.25">
      <c r="B22" t="s">
        <v>9</v>
      </c>
      <c r="P22" s="17">
        <f t="shared" si="4"/>
        <v>0</v>
      </c>
      <c r="Q22" s="18" t="e">
        <f t="shared" si="5"/>
        <v>#DIV/0!</v>
      </c>
      <c r="R22" s="19" t="e">
        <f t="shared" si="6"/>
        <v>#DIV/0!</v>
      </c>
      <c r="S22" s="15"/>
    </row>
    <row r="23" spans="2:19" x14ac:dyDescent="0.25">
      <c r="B23" t="s">
        <v>86</v>
      </c>
      <c r="P23" s="17">
        <f t="shared" si="4"/>
        <v>0</v>
      </c>
      <c r="Q23" s="18" t="e">
        <f t="shared" si="5"/>
        <v>#DIV/0!</v>
      </c>
      <c r="R23" s="19" t="e">
        <f t="shared" si="6"/>
        <v>#DIV/0!</v>
      </c>
      <c r="S23" s="15"/>
    </row>
    <row r="24" spans="2:19" x14ac:dyDescent="0.25">
      <c r="C24" t="s">
        <v>81</v>
      </c>
      <c r="D24" s="16">
        <f t="shared" ref="D24:P24" si="7">SUM(D19:D23)</f>
        <v>0</v>
      </c>
      <c r="E24" s="16">
        <f t="shared" si="7"/>
        <v>0</v>
      </c>
      <c r="F24" s="16">
        <f t="shared" si="7"/>
        <v>0</v>
      </c>
      <c r="G24" s="16">
        <f t="shared" si="7"/>
        <v>0</v>
      </c>
      <c r="H24" s="16">
        <f t="shared" si="7"/>
        <v>0</v>
      </c>
      <c r="I24" s="16">
        <f t="shared" si="7"/>
        <v>0</v>
      </c>
      <c r="J24" s="16">
        <f t="shared" si="7"/>
        <v>0</v>
      </c>
      <c r="K24" s="16">
        <f t="shared" si="7"/>
        <v>0</v>
      </c>
      <c r="L24" s="16">
        <f t="shared" si="7"/>
        <v>0</v>
      </c>
      <c r="M24" s="16">
        <f t="shared" si="7"/>
        <v>0</v>
      </c>
      <c r="N24" s="16">
        <f t="shared" si="7"/>
        <v>0</v>
      </c>
      <c r="O24" s="16">
        <f t="shared" si="7"/>
        <v>0</v>
      </c>
      <c r="P24" s="17">
        <f t="shared" si="7"/>
        <v>0</v>
      </c>
      <c r="Q24" s="27" t="s">
        <v>85</v>
      </c>
      <c r="R24" s="28" t="e">
        <f>SUM(R19:R23)</f>
        <v>#DIV/0!</v>
      </c>
      <c r="S24" s="15"/>
    </row>
    <row r="25" spans="2:19" x14ac:dyDescent="0.25">
      <c r="S25" s="15"/>
    </row>
    <row r="26" spans="2:19" ht="26.25" x14ac:dyDescent="0.4">
      <c r="B26" s="29" t="s">
        <v>87</v>
      </c>
      <c r="C26" s="30"/>
      <c r="S26" s="15"/>
    </row>
    <row r="27" spans="2:19" ht="18.75" x14ac:dyDescent="0.3">
      <c r="D27" s="11" t="s">
        <v>69</v>
      </c>
      <c r="E27" s="12" t="s">
        <v>70</v>
      </c>
      <c r="F27" s="12" t="s">
        <v>71</v>
      </c>
      <c r="G27" s="12" t="s">
        <v>72</v>
      </c>
      <c r="H27" s="12" t="s">
        <v>73</v>
      </c>
      <c r="I27" s="12" t="s">
        <v>74</v>
      </c>
      <c r="J27" s="12" t="s">
        <v>75</v>
      </c>
      <c r="K27" s="12" t="s">
        <v>76</v>
      </c>
      <c r="L27" s="12" t="s">
        <v>77</v>
      </c>
      <c r="M27" s="12" t="s">
        <v>78</v>
      </c>
      <c r="N27" s="12" t="s">
        <v>79</v>
      </c>
      <c r="O27" s="12" t="s">
        <v>80</v>
      </c>
      <c r="P27" s="14" t="s">
        <v>81</v>
      </c>
      <c r="R27" s="31" t="s">
        <v>83</v>
      </c>
    </row>
    <row r="28" spans="2:19" x14ac:dyDescent="0.25">
      <c r="C28" t="s">
        <v>81</v>
      </c>
      <c r="D28" s="32">
        <f>D24-D15</f>
        <v>0</v>
      </c>
      <c r="E28" s="32">
        <f t="shared" ref="E28:P28" si="8">E24-E15</f>
        <v>0</v>
      </c>
      <c r="F28" s="32">
        <f>F24-F15</f>
        <v>0</v>
      </c>
      <c r="G28" s="32">
        <f>G24-G15</f>
        <v>0</v>
      </c>
      <c r="H28" s="32">
        <f t="shared" si="8"/>
        <v>0</v>
      </c>
      <c r="I28" s="32">
        <f t="shared" si="8"/>
        <v>0</v>
      </c>
      <c r="J28" s="32">
        <f t="shared" si="8"/>
        <v>0</v>
      </c>
      <c r="K28" s="32">
        <f t="shared" si="8"/>
        <v>0</v>
      </c>
      <c r="L28" s="32">
        <f t="shared" si="8"/>
        <v>0</v>
      </c>
      <c r="M28" s="32">
        <f t="shared" si="8"/>
        <v>0</v>
      </c>
      <c r="N28" s="32">
        <f t="shared" si="8"/>
        <v>0</v>
      </c>
      <c r="O28" s="32">
        <f t="shared" si="8"/>
        <v>0</v>
      </c>
      <c r="P28" s="33">
        <f t="shared" si="8"/>
        <v>0</v>
      </c>
      <c r="Q28" s="34"/>
      <c r="R28" s="19" t="e">
        <f>R24-R15</f>
        <v>#DIV/0!</v>
      </c>
    </row>
    <row r="30" spans="2:19" ht="26.25" x14ac:dyDescent="0.4">
      <c r="B30" s="29" t="s">
        <v>88</v>
      </c>
      <c r="C30" s="9" t="s">
        <v>89</v>
      </c>
    </row>
    <row r="31" spans="2:19" ht="18.75" x14ac:dyDescent="0.3">
      <c r="C31" s="11" t="s">
        <v>80</v>
      </c>
      <c r="D31" s="12" t="s">
        <v>69</v>
      </c>
      <c r="E31" s="12" t="s">
        <v>70</v>
      </c>
      <c r="F31" s="12" t="s">
        <v>71</v>
      </c>
      <c r="G31" s="12" t="s">
        <v>72</v>
      </c>
      <c r="H31" s="12" t="s">
        <v>73</v>
      </c>
      <c r="I31" s="12" t="s">
        <v>74</v>
      </c>
      <c r="J31" s="12" t="s">
        <v>75</v>
      </c>
      <c r="K31" s="12" t="s">
        <v>76</v>
      </c>
      <c r="L31" s="12" t="s">
        <v>77</v>
      </c>
      <c r="M31" s="12" t="s">
        <v>78</v>
      </c>
      <c r="N31" s="12" t="s">
        <v>79</v>
      </c>
      <c r="O31" s="35" t="s">
        <v>80</v>
      </c>
      <c r="P31" s="20"/>
    </row>
    <row r="32" spans="2:19" x14ac:dyDescent="0.25">
      <c r="B32" t="s">
        <v>90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36"/>
    </row>
    <row r="33" spans="2:18" x14ac:dyDescent="0.25">
      <c r="B33" t="s">
        <v>91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8"/>
    </row>
    <row r="34" spans="2:18" x14ac:dyDescent="0.25">
      <c r="B34" t="s">
        <v>92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6"/>
      <c r="R34" s="42"/>
    </row>
    <row r="35" spans="2:18" x14ac:dyDescent="0.25">
      <c r="B35" t="s">
        <v>93</v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39"/>
      <c r="R35" s="42"/>
    </row>
    <row r="36" spans="2:18" x14ac:dyDescent="0.25">
      <c r="B36" t="s">
        <v>81</v>
      </c>
      <c r="C36" s="16">
        <f>SUM(C32:C35)</f>
        <v>0</v>
      </c>
      <c r="D36" s="16">
        <f t="shared" ref="D36:O36" si="9">SUM(D32:D35)</f>
        <v>0</v>
      </c>
      <c r="E36" s="16">
        <f t="shared" si="9"/>
        <v>0</v>
      </c>
      <c r="F36" s="16">
        <f t="shared" si="9"/>
        <v>0</v>
      </c>
      <c r="G36" s="16">
        <f t="shared" si="9"/>
        <v>0</v>
      </c>
      <c r="H36" s="16">
        <f t="shared" si="9"/>
        <v>0</v>
      </c>
      <c r="I36" s="16">
        <f t="shared" si="9"/>
        <v>0</v>
      </c>
      <c r="J36" s="16">
        <f t="shared" si="9"/>
        <v>0</v>
      </c>
      <c r="K36" s="16">
        <f t="shared" si="9"/>
        <v>0</v>
      </c>
      <c r="L36" s="16">
        <f t="shared" si="9"/>
        <v>0</v>
      </c>
      <c r="M36" s="16">
        <f t="shared" si="9"/>
        <v>0</v>
      </c>
      <c r="N36" s="16">
        <f t="shared" si="9"/>
        <v>0</v>
      </c>
      <c r="O36" s="16">
        <f t="shared" si="9"/>
        <v>0</v>
      </c>
      <c r="P36" s="36"/>
    </row>
    <row r="37" spans="2:18" x14ac:dyDescent="0.25">
      <c r="B37" t="s">
        <v>94</v>
      </c>
      <c r="C37" s="16" t="s">
        <v>85</v>
      </c>
      <c r="D37" s="16">
        <f t="shared" ref="D37:N37" si="10">(D36-C36)-D28</f>
        <v>0</v>
      </c>
      <c r="E37" s="16">
        <f t="shared" si="10"/>
        <v>0</v>
      </c>
      <c r="F37" s="16">
        <f t="shared" si="10"/>
        <v>0</v>
      </c>
      <c r="G37" s="16">
        <f t="shared" si="10"/>
        <v>0</v>
      </c>
      <c r="H37" s="16">
        <f t="shared" si="10"/>
        <v>0</v>
      </c>
      <c r="I37" s="16">
        <f t="shared" si="10"/>
        <v>0</v>
      </c>
      <c r="J37" s="16">
        <f t="shared" si="10"/>
        <v>0</v>
      </c>
      <c r="K37" s="16">
        <f t="shared" si="10"/>
        <v>0</v>
      </c>
      <c r="L37" s="16">
        <f t="shared" si="10"/>
        <v>0</v>
      </c>
      <c r="M37" s="16">
        <f t="shared" si="10"/>
        <v>0</v>
      </c>
      <c r="N37" s="16">
        <f t="shared" si="10"/>
        <v>0</v>
      </c>
      <c r="O37" s="16">
        <v>500</v>
      </c>
      <c r="P37" s="36"/>
    </row>
    <row r="38" spans="2:18" x14ac:dyDescent="0.25"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20"/>
    </row>
    <row r="39" spans="2:18" x14ac:dyDescent="0.25"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2:18" ht="44.25" x14ac:dyDescent="0.55000000000000004">
      <c r="D40" s="46"/>
      <c r="E40" s="46"/>
      <c r="F40" s="46"/>
    </row>
    <row r="44" spans="2:18" x14ac:dyDescent="0.25">
      <c r="C44" s="15"/>
    </row>
    <row r="45" spans="2:18" x14ac:dyDescent="0.25">
      <c r="C45" s="15"/>
    </row>
    <row r="46" spans="2:18" x14ac:dyDescent="0.25">
      <c r="C46" s="15"/>
    </row>
    <row r="47" spans="2:18" x14ac:dyDescent="0.25">
      <c r="C47" s="15"/>
    </row>
    <row r="48" spans="2:18" x14ac:dyDescent="0.25">
      <c r="C48" s="15"/>
    </row>
    <row r="49" spans="3:3" x14ac:dyDescent="0.25">
      <c r="C49" s="15"/>
    </row>
    <row r="50" spans="3:3" x14ac:dyDescent="0.25">
      <c r="C50" s="15"/>
    </row>
    <row r="51" spans="3:3" x14ac:dyDescent="0.25">
      <c r="C51" s="15"/>
    </row>
    <row r="52" spans="3:3" x14ac:dyDescent="0.25">
      <c r="C52" s="15"/>
    </row>
    <row r="53" spans="3:3" x14ac:dyDescent="0.25">
      <c r="C53" s="15"/>
    </row>
    <row r="54" spans="3:3" x14ac:dyDescent="0.25">
      <c r="C54" s="15"/>
    </row>
    <row r="55" spans="3:3" x14ac:dyDescent="0.25">
      <c r="C55" s="15"/>
    </row>
    <row r="56" spans="3:3" x14ac:dyDescent="0.25">
      <c r="C56" s="15"/>
    </row>
    <row r="57" spans="3:3" x14ac:dyDescent="0.25">
      <c r="C57" s="15"/>
    </row>
    <row r="58" spans="3:3" x14ac:dyDescent="0.25">
      <c r="C58" s="15"/>
    </row>
    <row r="59" spans="3:3" x14ac:dyDescent="0.25">
      <c r="C59" s="15"/>
    </row>
    <row r="60" spans="3:3" x14ac:dyDescent="0.25">
      <c r="C60" s="15"/>
    </row>
    <row r="61" spans="3:3" x14ac:dyDescent="0.25">
      <c r="C61" s="15"/>
    </row>
    <row r="62" spans="3:3" x14ac:dyDescent="0.25">
      <c r="C62" s="15"/>
    </row>
    <row r="63" spans="3:3" x14ac:dyDescent="0.25">
      <c r="C63" s="15"/>
    </row>
    <row r="64" spans="3:3" x14ac:dyDescent="0.25">
      <c r="C64" s="15"/>
    </row>
    <row r="65" spans="3:3" x14ac:dyDescent="0.25">
      <c r="C65" s="15"/>
    </row>
    <row r="119" spans="7:9" x14ac:dyDescent="0.25">
      <c r="G119" s="41"/>
    </row>
    <row r="120" spans="7:9" x14ac:dyDescent="0.25">
      <c r="G120" s="41"/>
    </row>
    <row r="121" spans="7:9" x14ac:dyDescent="0.25">
      <c r="G121" s="41"/>
    </row>
    <row r="122" spans="7:9" x14ac:dyDescent="0.25">
      <c r="G122" s="41"/>
    </row>
    <row r="123" spans="7:9" x14ac:dyDescent="0.25">
      <c r="G123" s="41"/>
    </row>
    <row r="124" spans="7:9" x14ac:dyDescent="0.25">
      <c r="G124" s="41"/>
    </row>
    <row r="125" spans="7:9" x14ac:dyDescent="0.25">
      <c r="H125" s="9"/>
      <c r="I125" s="9"/>
    </row>
  </sheetData>
  <mergeCells count="2">
    <mergeCell ref="B1:P1"/>
    <mergeCell ref="D40:F40"/>
  </mergeCell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93C4D8D7-F987-49D2-BEA3-6A38E2D127C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#REF!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D5:O14</xm:sqref>
        </x14:conditionalFormatting>
        <x14:conditionalFormatting xmlns:xm="http://schemas.microsoft.com/office/excel/2006/main">
          <x14:cfRule type="iconSet" priority="1" id="{5BED332A-AD49-4FB4-A650-C1FEB5026D4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#REF!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D19:O23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01"/>
  <sheetViews>
    <sheetView workbookViewId="0">
      <selection activeCell="B41" sqref="B41"/>
    </sheetView>
  </sheetViews>
  <sheetFormatPr defaultRowHeight="15" x14ac:dyDescent="0.25"/>
  <cols>
    <col min="1" max="1" width="23.375" customWidth="1"/>
    <col min="2" max="2" width="8.375" customWidth="1"/>
    <col min="3" max="3" width="10.75" customWidth="1"/>
    <col min="4" max="4" width="15.625" bestFit="1" customWidth="1"/>
    <col min="5" max="5" width="8" customWidth="1"/>
    <col min="10" max="10" width="15.62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10</v>
      </c>
      <c r="B2" s="3">
        <v>1582</v>
      </c>
      <c r="C2" s="1" t="s">
        <v>6</v>
      </c>
      <c r="D2" s="2">
        <v>42396</v>
      </c>
      <c r="E2" s="1" t="s">
        <v>5</v>
      </c>
    </row>
    <row r="3" spans="1:5" x14ac:dyDescent="0.25">
      <c r="A3" s="1" t="s">
        <v>12</v>
      </c>
      <c r="B3" s="3">
        <v>1684</v>
      </c>
      <c r="C3" s="1" t="s">
        <v>104</v>
      </c>
      <c r="D3" s="2">
        <v>42396</v>
      </c>
      <c r="E3" s="1" t="s">
        <v>7</v>
      </c>
    </row>
    <row r="4" spans="1:5" x14ac:dyDescent="0.25">
      <c r="A4" s="1" t="s">
        <v>13</v>
      </c>
      <c r="B4" s="3">
        <v>1861</v>
      </c>
      <c r="C4" s="1" t="s">
        <v>105</v>
      </c>
      <c r="D4" s="2">
        <v>42396</v>
      </c>
      <c r="E4" s="1" t="s">
        <v>5</v>
      </c>
    </row>
    <row r="5" spans="1:5" x14ac:dyDescent="0.25">
      <c r="A5" s="1" t="s">
        <v>15</v>
      </c>
      <c r="B5" s="3">
        <v>1929</v>
      </c>
      <c r="C5" s="1" t="s">
        <v>106</v>
      </c>
      <c r="D5" s="2">
        <v>42396</v>
      </c>
      <c r="E5" s="1" t="s">
        <v>7</v>
      </c>
    </row>
    <row r="6" spans="1:5" x14ac:dyDescent="0.25">
      <c r="A6" s="1" t="s">
        <v>16</v>
      </c>
      <c r="B6" s="3">
        <v>1822</v>
      </c>
      <c r="C6" s="1" t="s">
        <v>6</v>
      </c>
      <c r="D6" s="2">
        <v>42396</v>
      </c>
      <c r="E6" s="1" t="s">
        <v>5</v>
      </c>
    </row>
    <row r="7" spans="1:5" x14ac:dyDescent="0.25">
      <c r="A7" s="1" t="s">
        <v>17</v>
      </c>
      <c r="B7" s="3">
        <v>1060</v>
      </c>
      <c r="C7" s="1" t="s">
        <v>105</v>
      </c>
      <c r="D7" s="2">
        <v>42396</v>
      </c>
      <c r="E7" s="1" t="s">
        <v>5</v>
      </c>
    </row>
    <row r="8" spans="1:5" x14ac:dyDescent="0.25">
      <c r="A8" s="1" t="s">
        <v>19</v>
      </c>
      <c r="B8" s="3">
        <v>959</v>
      </c>
      <c r="C8" s="1" t="s">
        <v>105</v>
      </c>
      <c r="D8" s="2">
        <v>42396</v>
      </c>
      <c r="E8" s="1" t="s">
        <v>5</v>
      </c>
    </row>
    <row r="9" spans="1:5" x14ac:dyDescent="0.25">
      <c r="A9" s="1" t="s">
        <v>20</v>
      </c>
      <c r="B9" s="3">
        <v>157</v>
      </c>
      <c r="C9" s="1" t="s">
        <v>104</v>
      </c>
      <c r="D9" s="2">
        <v>42584</v>
      </c>
      <c r="E9" s="1" t="s">
        <v>7</v>
      </c>
    </row>
    <row r="10" spans="1:5" x14ac:dyDescent="0.25">
      <c r="A10" s="1" t="s">
        <v>21</v>
      </c>
      <c r="B10" s="3">
        <v>1517</v>
      </c>
      <c r="C10" s="1" t="s">
        <v>104</v>
      </c>
      <c r="D10" s="2">
        <v>42584</v>
      </c>
      <c r="E10" s="1" t="s">
        <v>7</v>
      </c>
    </row>
    <row r="11" spans="1:5" x14ac:dyDescent="0.25">
      <c r="A11" s="1" t="s">
        <v>22</v>
      </c>
      <c r="B11" s="3">
        <v>1629</v>
      </c>
      <c r="C11" s="1" t="s">
        <v>6</v>
      </c>
      <c r="D11" s="2">
        <v>42584</v>
      </c>
      <c r="E11" s="1" t="s">
        <v>5</v>
      </c>
    </row>
    <row r="12" spans="1:5" x14ac:dyDescent="0.25">
      <c r="A12" s="1" t="s">
        <v>23</v>
      </c>
      <c r="B12" s="3">
        <v>235</v>
      </c>
      <c r="C12" s="1" t="s">
        <v>106</v>
      </c>
      <c r="D12" s="2">
        <v>42584</v>
      </c>
      <c r="E12" s="1" t="s">
        <v>7</v>
      </c>
    </row>
    <row r="13" spans="1:5" x14ac:dyDescent="0.25">
      <c r="A13" s="1" t="s">
        <v>24</v>
      </c>
      <c r="B13" s="3">
        <v>98</v>
      </c>
      <c r="C13" s="1" t="s">
        <v>6</v>
      </c>
      <c r="D13" s="2">
        <v>42584</v>
      </c>
      <c r="E13" s="1" t="s">
        <v>5</v>
      </c>
    </row>
    <row r="14" spans="1:5" x14ac:dyDescent="0.25">
      <c r="A14" s="1" t="s">
        <v>26</v>
      </c>
      <c r="B14" s="3">
        <v>706</v>
      </c>
      <c r="C14" s="1" t="s">
        <v>6</v>
      </c>
      <c r="D14" s="2">
        <v>42584</v>
      </c>
      <c r="E14" s="1" t="s">
        <v>5</v>
      </c>
    </row>
    <row r="15" spans="1:5" x14ac:dyDescent="0.25">
      <c r="A15" s="1" t="s">
        <v>27</v>
      </c>
      <c r="B15" s="3">
        <v>888</v>
      </c>
      <c r="C15" s="1" t="s">
        <v>106</v>
      </c>
      <c r="D15" s="2">
        <v>42440</v>
      </c>
      <c r="E15" s="1" t="s">
        <v>7</v>
      </c>
    </row>
    <row r="16" spans="1:5" x14ac:dyDescent="0.25">
      <c r="A16" s="1" t="s">
        <v>28</v>
      </c>
      <c r="B16" s="3">
        <v>810</v>
      </c>
      <c r="C16" s="1" t="s">
        <v>106</v>
      </c>
      <c r="D16" s="2">
        <v>42440</v>
      </c>
      <c r="E16" s="1" t="s">
        <v>7</v>
      </c>
    </row>
    <row r="17" spans="1:5" x14ac:dyDescent="0.25">
      <c r="A17" s="1" t="s">
        <v>30</v>
      </c>
      <c r="B17" s="3">
        <v>705</v>
      </c>
      <c r="C17" s="1" t="s">
        <v>104</v>
      </c>
      <c r="D17" s="2">
        <v>42440</v>
      </c>
      <c r="E17" s="1" t="s">
        <v>7</v>
      </c>
    </row>
    <row r="18" spans="1:5" x14ac:dyDescent="0.25">
      <c r="A18" s="1" t="s">
        <v>32</v>
      </c>
      <c r="B18" s="3">
        <v>1717</v>
      </c>
      <c r="C18" s="1" t="s">
        <v>6</v>
      </c>
      <c r="D18" s="2">
        <v>42440</v>
      </c>
      <c r="E18" s="1" t="s">
        <v>5</v>
      </c>
    </row>
    <row r="19" spans="1:5" x14ac:dyDescent="0.25">
      <c r="A19" s="1" t="s">
        <v>33</v>
      </c>
      <c r="B19" s="3">
        <v>18</v>
      </c>
      <c r="C19" s="1" t="s">
        <v>105</v>
      </c>
      <c r="D19" s="2">
        <v>42440</v>
      </c>
      <c r="E19" s="1" t="s">
        <v>5</v>
      </c>
    </row>
    <row r="20" spans="1:5" x14ac:dyDescent="0.25">
      <c r="A20" s="1" t="s">
        <v>35</v>
      </c>
      <c r="B20" s="3">
        <v>1227</v>
      </c>
      <c r="C20" s="1" t="s">
        <v>105</v>
      </c>
      <c r="D20" s="2">
        <v>42440</v>
      </c>
      <c r="E20" s="1" t="s">
        <v>5</v>
      </c>
    </row>
    <row r="21" spans="1:5" x14ac:dyDescent="0.25">
      <c r="A21" s="1" t="s">
        <v>36</v>
      </c>
      <c r="B21" s="3">
        <v>1600</v>
      </c>
      <c r="C21" s="1" t="s">
        <v>106</v>
      </c>
      <c r="D21" s="2">
        <v>42440</v>
      </c>
      <c r="E21" s="1" t="s">
        <v>7</v>
      </c>
    </row>
    <row r="22" spans="1:5" x14ac:dyDescent="0.25">
      <c r="A22" s="1" t="s">
        <v>37</v>
      </c>
      <c r="B22" s="3">
        <v>315</v>
      </c>
      <c r="C22" s="1" t="s">
        <v>106</v>
      </c>
      <c r="D22" s="2">
        <v>42520</v>
      </c>
      <c r="E22" s="1" t="s">
        <v>7</v>
      </c>
    </row>
    <row r="23" spans="1:5" x14ac:dyDescent="0.25">
      <c r="A23" s="1" t="s">
        <v>38</v>
      </c>
      <c r="B23" s="3">
        <v>267</v>
      </c>
      <c r="C23" s="1" t="s">
        <v>106</v>
      </c>
      <c r="D23" s="2">
        <v>42520</v>
      </c>
      <c r="E23" s="1" t="s">
        <v>7</v>
      </c>
    </row>
    <row r="24" spans="1:5" x14ac:dyDescent="0.25">
      <c r="A24" s="1" t="s">
        <v>39</v>
      </c>
      <c r="B24" s="3">
        <v>1170</v>
      </c>
      <c r="C24" s="1" t="s">
        <v>106</v>
      </c>
      <c r="D24" s="2">
        <v>42520</v>
      </c>
      <c r="E24" s="1" t="s">
        <v>7</v>
      </c>
    </row>
    <row r="25" spans="1:5" x14ac:dyDescent="0.25">
      <c r="A25" s="1" t="s">
        <v>40</v>
      </c>
      <c r="B25" s="3">
        <v>1928</v>
      </c>
      <c r="C25" s="1" t="s">
        <v>105</v>
      </c>
      <c r="D25" s="2">
        <v>42520</v>
      </c>
      <c r="E25" s="1" t="s">
        <v>5</v>
      </c>
    </row>
    <row r="26" spans="1:5" x14ac:dyDescent="0.25">
      <c r="A26" s="1" t="s">
        <v>41</v>
      </c>
      <c r="B26" s="3">
        <v>906</v>
      </c>
      <c r="C26" s="1" t="s">
        <v>104</v>
      </c>
      <c r="D26" s="2">
        <v>42520</v>
      </c>
      <c r="E26" s="1" t="s">
        <v>7</v>
      </c>
    </row>
    <row r="27" spans="1:5" x14ac:dyDescent="0.25">
      <c r="A27" s="1" t="s">
        <v>42</v>
      </c>
      <c r="B27" s="3">
        <v>1228</v>
      </c>
      <c r="C27" s="1" t="s">
        <v>106</v>
      </c>
      <c r="D27" s="2">
        <v>42520</v>
      </c>
      <c r="E27" s="1" t="s">
        <v>7</v>
      </c>
    </row>
    <row r="28" spans="1:5" x14ac:dyDescent="0.25">
      <c r="A28" s="1" t="s">
        <v>43</v>
      </c>
      <c r="B28" s="3">
        <v>1803</v>
      </c>
      <c r="C28" s="1" t="s">
        <v>106</v>
      </c>
      <c r="D28" s="2">
        <v>42484</v>
      </c>
      <c r="E28" s="1" t="s">
        <v>7</v>
      </c>
    </row>
    <row r="29" spans="1:5" x14ac:dyDescent="0.25">
      <c r="A29" s="1" t="s">
        <v>44</v>
      </c>
      <c r="B29" s="3">
        <v>1835</v>
      </c>
      <c r="C29" s="1" t="s">
        <v>6</v>
      </c>
      <c r="D29" s="2">
        <v>42484</v>
      </c>
      <c r="E29" s="1" t="s">
        <v>5</v>
      </c>
    </row>
    <row r="30" spans="1:5" x14ac:dyDescent="0.25">
      <c r="A30" s="1" t="s">
        <v>45</v>
      </c>
      <c r="B30" s="3">
        <v>399</v>
      </c>
      <c r="C30" s="1" t="s">
        <v>105</v>
      </c>
      <c r="D30" s="2">
        <v>42484</v>
      </c>
      <c r="E30" s="1" t="s">
        <v>5</v>
      </c>
    </row>
    <row r="31" spans="1:5" x14ac:dyDescent="0.25">
      <c r="A31" s="1" t="s">
        <v>46</v>
      </c>
      <c r="B31" s="3">
        <v>204</v>
      </c>
      <c r="C31" s="1" t="s">
        <v>105</v>
      </c>
      <c r="D31" s="2">
        <v>42484</v>
      </c>
      <c r="E31" s="1" t="s">
        <v>5</v>
      </c>
    </row>
    <row r="32" spans="1:5" x14ac:dyDescent="0.25">
      <c r="A32" s="1" t="s">
        <v>47</v>
      </c>
      <c r="B32" s="3">
        <v>687</v>
      </c>
      <c r="C32" s="1" t="s">
        <v>106</v>
      </c>
      <c r="D32" s="2">
        <v>42484</v>
      </c>
      <c r="E32" s="1" t="s">
        <v>7</v>
      </c>
    </row>
    <row r="33" spans="1:5" x14ac:dyDescent="0.25">
      <c r="A33" s="1" t="s">
        <v>48</v>
      </c>
      <c r="B33" s="3">
        <v>1406</v>
      </c>
      <c r="C33" s="1" t="s">
        <v>6</v>
      </c>
      <c r="D33" s="2">
        <v>42484</v>
      </c>
      <c r="E33" s="1" t="s">
        <v>5</v>
      </c>
    </row>
    <row r="34" spans="1:5" x14ac:dyDescent="0.25">
      <c r="A34" s="1" t="s">
        <v>49</v>
      </c>
      <c r="B34" s="3">
        <v>1299</v>
      </c>
      <c r="C34" s="1" t="s">
        <v>6</v>
      </c>
      <c r="D34" s="2">
        <v>42564</v>
      </c>
      <c r="E34" s="1" t="s">
        <v>5</v>
      </c>
    </row>
    <row r="35" spans="1:5" x14ac:dyDescent="0.25">
      <c r="A35" s="1" t="s">
        <v>50</v>
      </c>
      <c r="B35" s="3">
        <v>131</v>
      </c>
      <c r="C35" s="1" t="s">
        <v>106</v>
      </c>
      <c r="D35" s="2">
        <v>42564</v>
      </c>
      <c r="E35" s="1" t="s">
        <v>7</v>
      </c>
    </row>
    <row r="36" spans="1:5" x14ac:dyDescent="0.25">
      <c r="A36" s="1" t="s">
        <v>51</v>
      </c>
      <c r="B36" s="3">
        <v>1454</v>
      </c>
      <c r="C36" s="1" t="s">
        <v>106</v>
      </c>
      <c r="D36" s="2">
        <v>42564</v>
      </c>
      <c r="E36" s="1" t="s">
        <v>7</v>
      </c>
    </row>
    <row r="37" spans="1:5" x14ac:dyDescent="0.25">
      <c r="A37" s="1" t="s">
        <v>52</v>
      </c>
      <c r="B37" s="3">
        <v>189</v>
      </c>
      <c r="C37" s="1" t="s">
        <v>6</v>
      </c>
      <c r="D37" s="2">
        <v>42564</v>
      </c>
      <c r="E37" s="1" t="s">
        <v>5</v>
      </c>
    </row>
    <row r="38" spans="1:5" x14ac:dyDescent="0.25">
      <c r="A38" s="1" t="s">
        <v>53</v>
      </c>
      <c r="B38" s="3">
        <v>1950</v>
      </c>
      <c r="C38" s="1" t="s">
        <v>106</v>
      </c>
      <c r="D38" s="2">
        <v>42527</v>
      </c>
      <c r="E38" s="1" t="s">
        <v>7</v>
      </c>
    </row>
    <row r="39" spans="1:5" x14ac:dyDescent="0.25">
      <c r="A39" s="1" t="s">
        <v>54</v>
      </c>
      <c r="B39" s="3">
        <v>999</v>
      </c>
      <c r="C39" s="1" t="s">
        <v>106</v>
      </c>
      <c r="D39" s="2">
        <v>42527</v>
      </c>
      <c r="E39" s="1" t="s">
        <v>7</v>
      </c>
    </row>
    <row r="40" spans="1:5" x14ac:dyDescent="0.25">
      <c r="A40" s="1" t="s">
        <v>55</v>
      </c>
      <c r="B40" s="3">
        <v>1939</v>
      </c>
      <c r="C40" s="1" t="s">
        <v>105</v>
      </c>
      <c r="D40" s="2">
        <v>42527</v>
      </c>
      <c r="E40" s="1" t="s">
        <v>5</v>
      </c>
    </row>
    <row r="41" spans="1:5" x14ac:dyDescent="0.25">
      <c r="A41" s="1" t="s">
        <v>56</v>
      </c>
      <c r="B41" s="3">
        <v>1699</v>
      </c>
      <c r="C41" s="1" t="s">
        <v>6</v>
      </c>
      <c r="D41" s="2">
        <v>42527</v>
      </c>
      <c r="E41" s="1" t="s">
        <v>5</v>
      </c>
    </row>
    <row r="42" spans="1:5" x14ac:dyDescent="0.25">
      <c r="A42" s="1" t="s">
        <v>57</v>
      </c>
      <c r="B42" s="3">
        <v>230</v>
      </c>
      <c r="C42" s="1" t="s">
        <v>105</v>
      </c>
      <c r="D42" s="2">
        <v>42527</v>
      </c>
      <c r="E42" s="1" t="s">
        <v>5</v>
      </c>
    </row>
    <row r="43" spans="1:5" x14ac:dyDescent="0.25">
      <c r="A43" s="1" t="s">
        <v>58</v>
      </c>
      <c r="B43" s="3">
        <v>357</v>
      </c>
      <c r="C43" s="1" t="s">
        <v>104</v>
      </c>
      <c r="D43" s="2">
        <v>42527</v>
      </c>
      <c r="E43" s="1" t="s">
        <v>7</v>
      </c>
    </row>
    <row r="44" spans="1:5" x14ac:dyDescent="0.25">
      <c r="A44" s="1" t="s">
        <v>59</v>
      </c>
      <c r="B44" s="3">
        <v>852</v>
      </c>
      <c r="C44" s="1" t="s">
        <v>104</v>
      </c>
      <c r="D44" s="2">
        <v>42383</v>
      </c>
      <c r="E44" s="1" t="s">
        <v>7</v>
      </c>
    </row>
    <row r="45" spans="1:5" x14ac:dyDescent="0.25">
      <c r="A45" s="1" t="s">
        <v>60</v>
      </c>
      <c r="B45" s="3">
        <v>1355</v>
      </c>
      <c r="C45" s="1" t="s">
        <v>105</v>
      </c>
      <c r="D45" s="2">
        <v>42383</v>
      </c>
      <c r="E45" s="1" t="s">
        <v>5</v>
      </c>
    </row>
    <row r="46" spans="1:5" x14ac:dyDescent="0.25">
      <c r="A46" s="1" t="s">
        <v>61</v>
      </c>
      <c r="B46" s="3">
        <v>970</v>
      </c>
      <c r="C46" s="1" t="s">
        <v>106</v>
      </c>
      <c r="D46" s="2">
        <v>42383</v>
      </c>
      <c r="E46" s="1" t="s">
        <v>7</v>
      </c>
    </row>
    <row r="47" spans="1:5" x14ac:dyDescent="0.25">
      <c r="A47" s="1" t="s">
        <v>62</v>
      </c>
      <c r="B47" s="3">
        <v>1816</v>
      </c>
      <c r="C47" s="1" t="s">
        <v>6</v>
      </c>
      <c r="D47" s="2">
        <v>42383</v>
      </c>
      <c r="E47" s="1" t="s">
        <v>5</v>
      </c>
    </row>
    <row r="48" spans="1:5" x14ac:dyDescent="0.25">
      <c r="A48" s="1" t="s">
        <v>63</v>
      </c>
      <c r="B48" s="3">
        <v>181</v>
      </c>
      <c r="C48" s="1" t="s">
        <v>106</v>
      </c>
      <c r="D48" s="2">
        <v>42383</v>
      </c>
      <c r="E48" s="1" t="s">
        <v>7</v>
      </c>
    </row>
    <row r="49" spans="1:5" x14ac:dyDescent="0.25">
      <c r="A49" s="1" t="s">
        <v>64</v>
      </c>
      <c r="B49" s="3">
        <v>480</v>
      </c>
      <c r="C49" s="1" t="s">
        <v>106</v>
      </c>
      <c r="D49" s="2">
        <v>42464</v>
      </c>
      <c r="E49" s="1" t="s">
        <v>7</v>
      </c>
    </row>
    <row r="50" spans="1:5" x14ac:dyDescent="0.25">
      <c r="A50" s="1" t="s">
        <v>65</v>
      </c>
      <c r="B50" s="3">
        <v>399</v>
      </c>
      <c r="C50" s="1" t="s">
        <v>106</v>
      </c>
      <c r="D50" s="2">
        <v>42464</v>
      </c>
      <c r="E50" s="1" t="s">
        <v>7</v>
      </c>
    </row>
    <row r="51" spans="1:5" x14ac:dyDescent="0.25">
      <c r="A51" s="1" t="s">
        <v>66</v>
      </c>
      <c r="B51" s="3">
        <v>627</v>
      </c>
      <c r="C51" s="1" t="s">
        <v>106</v>
      </c>
      <c r="D51" s="2">
        <v>42464</v>
      </c>
      <c r="E51" s="1" t="s">
        <v>7</v>
      </c>
    </row>
    <row r="52" spans="1:5" x14ac:dyDescent="0.25">
      <c r="A52" t="s">
        <v>81</v>
      </c>
      <c r="E52">
        <f>SUBTOTAL(103,posteringFil[Type])</f>
        <v>50</v>
      </c>
    </row>
    <row r="499" spans="10:10" x14ac:dyDescent="0.25">
      <c r="J499" t="s">
        <v>29</v>
      </c>
    </row>
    <row r="500" spans="10:10" x14ac:dyDescent="0.25">
      <c r="J500" t="s">
        <v>7</v>
      </c>
    </row>
    <row r="501" spans="10:10" x14ac:dyDescent="0.25">
      <c r="J501">
        <f>SUMIFS(B:B,E:E,J500,C:C,J499,D:D,"&gt;="&amp;DATE(2016,7,1),D:D,"&lt;"&amp;DATE(2016,8,1))</f>
        <v>0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D08154EE-5589-4F9D-AC63-DAF9874F497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#REF!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G20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2"/>
  <sheetViews>
    <sheetView workbookViewId="0">
      <selection activeCell="E1" sqref="E1"/>
    </sheetView>
  </sheetViews>
  <sheetFormatPr defaultRowHeight="15" x14ac:dyDescent="0.25"/>
  <cols>
    <col min="1" max="1" width="19.875" bestFit="1" customWidth="1"/>
    <col min="2" max="3" width="9.875" bestFit="1" customWidth="1"/>
    <col min="4" max="4" width="15.125" bestFit="1" customWidth="1"/>
    <col min="5" max="5" width="9.875" bestFit="1" customWidth="1"/>
  </cols>
  <sheetData>
    <row r="1" spans="1:5" x14ac:dyDescent="0.25">
      <c r="A1" s="1" t="s">
        <v>110</v>
      </c>
      <c r="B1" s="1" t="s">
        <v>111</v>
      </c>
      <c r="C1" s="1" t="s">
        <v>112</v>
      </c>
      <c r="D1" s="1" t="s">
        <v>113</v>
      </c>
      <c r="E1" s="1" t="s">
        <v>114</v>
      </c>
    </row>
    <row r="2" spans="1:5" x14ac:dyDescent="0.25">
      <c r="A2" s="1" t="s">
        <v>115</v>
      </c>
      <c r="B2" s="1">
        <v>1</v>
      </c>
      <c r="C2" s="1" t="s">
        <v>116</v>
      </c>
      <c r="D2" s="2">
        <v>42658.452222222222</v>
      </c>
      <c r="E2" s="1" t="b">
        <v>1</v>
      </c>
    </row>
    <row r="3" spans="1:5" x14ac:dyDescent="0.25">
      <c r="A3" s="1" t="s">
        <v>10</v>
      </c>
      <c r="B3" s="1">
        <v>168</v>
      </c>
      <c r="C3" s="1" t="s">
        <v>25</v>
      </c>
      <c r="D3" s="2">
        <v>42495</v>
      </c>
      <c r="E3" s="1" t="b">
        <v>1</v>
      </c>
    </row>
    <row r="4" spans="1:5" x14ac:dyDescent="0.25">
      <c r="A4" s="1" t="s">
        <v>12</v>
      </c>
      <c r="B4" s="1">
        <v>1153</v>
      </c>
      <c r="C4" s="1" t="s">
        <v>14</v>
      </c>
      <c r="D4" s="2">
        <v>42598</v>
      </c>
      <c r="E4" s="1" t="b">
        <v>1</v>
      </c>
    </row>
    <row r="5" spans="1:5" x14ac:dyDescent="0.25">
      <c r="A5" s="1" t="s">
        <v>13</v>
      </c>
      <c r="B5" s="1">
        <v>1333</v>
      </c>
      <c r="C5" s="1" t="s">
        <v>25</v>
      </c>
      <c r="D5" s="2">
        <v>42598</v>
      </c>
      <c r="E5" s="1" t="b">
        <v>1</v>
      </c>
    </row>
    <row r="6" spans="1:5" x14ac:dyDescent="0.25">
      <c r="A6" s="1" t="s">
        <v>15</v>
      </c>
      <c r="B6" s="1">
        <v>1390</v>
      </c>
      <c r="C6" s="1" t="s">
        <v>6</v>
      </c>
      <c r="D6" s="2">
        <v>42598</v>
      </c>
      <c r="E6" s="1" t="b">
        <v>1</v>
      </c>
    </row>
    <row r="7" spans="1:5" x14ac:dyDescent="0.25">
      <c r="A7" s="1" t="s">
        <v>16</v>
      </c>
      <c r="B7" s="1">
        <v>267</v>
      </c>
      <c r="C7" s="1" t="s">
        <v>29</v>
      </c>
      <c r="D7" s="2">
        <v>42598</v>
      </c>
      <c r="E7" s="1" t="b">
        <v>1</v>
      </c>
    </row>
    <row r="8" spans="1:5" x14ac:dyDescent="0.25">
      <c r="A8" s="1" t="s">
        <v>17</v>
      </c>
      <c r="B8" s="1">
        <v>1057</v>
      </c>
      <c r="C8" s="1" t="s">
        <v>8</v>
      </c>
      <c r="D8" s="2">
        <v>42598</v>
      </c>
      <c r="E8" s="1" t="b">
        <v>0</v>
      </c>
    </row>
    <row r="9" spans="1:5" x14ac:dyDescent="0.25">
      <c r="A9" s="1" t="s">
        <v>19</v>
      </c>
      <c r="B9" s="1">
        <v>1766</v>
      </c>
      <c r="C9" s="1" t="s">
        <v>6</v>
      </c>
      <c r="D9" s="2">
        <v>42598</v>
      </c>
      <c r="E9" s="1" t="b">
        <v>1</v>
      </c>
    </row>
    <row r="10" spans="1:5" x14ac:dyDescent="0.25">
      <c r="A10" s="1" t="s">
        <v>20</v>
      </c>
      <c r="B10" s="1">
        <v>1146</v>
      </c>
      <c r="C10" s="1" t="s">
        <v>116</v>
      </c>
      <c r="D10" s="2">
        <v>42413</v>
      </c>
      <c r="E10" s="1" t="b">
        <v>1</v>
      </c>
    </row>
    <row r="11" spans="1:5" x14ac:dyDescent="0.25">
      <c r="A11" s="1" t="s">
        <v>21</v>
      </c>
      <c r="B11" s="1">
        <v>1158</v>
      </c>
      <c r="C11" s="1" t="s">
        <v>67</v>
      </c>
      <c r="D11" s="2">
        <v>42413</v>
      </c>
      <c r="E11" s="1" t="b">
        <v>1</v>
      </c>
    </row>
    <row r="12" spans="1:5" x14ac:dyDescent="0.25">
      <c r="A12" s="1" t="s">
        <v>22</v>
      </c>
      <c r="B12" s="1">
        <v>282</v>
      </c>
      <c r="C12" s="1" t="s">
        <v>29</v>
      </c>
      <c r="D12" s="2">
        <v>42413</v>
      </c>
      <c r="E12" s="1" t="b">
        <v>1</v>
      </c>
    </row>
    <row r="13" spans="1:5" x14ac:dyDescent="0.25">
      <c r="A13" s="1" t="s">
        <v>23</v>
      </c>
      <c r="B13" s="1">
        <v>291</v>
      </c>
      <c r="C13" s="1" t="s">
        <v>8</v>
      </c>
      <c r="D13" s="2">
        <v>42413</v>
      </c>
      <c r="E13" s="1" t="b">
        <v>0</v>
      </c>
    </row>
    <row r="14" spans="1:5" x14ac:dyDescent="0.25">
      <c r="A14" s="1" t="s">
        <v>24</v>
      </c>
      <c r="B14" s="1">
        <v>859</v>
      </c>
      <c r="C14" s="1" t="s">
        <v>116</v>
      </c>
      <c r="D14" s="2">
        <v>42413</v>
      </c>
      <c r="E14" s="1" t="b">
        <v>1</v>
      </c>
    </row>
    <row r="15" spans="1:5" x14ac:dyDescent="0.25">
      <c r="A15" s="1" t="s">
        <v>26</v>
      </c>
      <c r="B15" s="1">
        <v>1871</v>
      </c>
      <c r="C15" s="1" t="s">
        <v>105</v>
      </c>
      <c r="D15" s="2">
        <v>42413</v>
      </c>
      <c r="E15" s="1" t="b">
        <v>0</v>
      </c>
    </row>
    <row r="16" spans="1:5" x14ac:dyDescent="0.25">
      <c r="A16" s="1" t="s">
        <v>27</v>
      </c>
      <c r="B16" s="1">
        <v>588</v>
      </c>
      <c r="C16" s="1" t="s">
        <v>105</v>
      </c>
      <c r="D16" s="2">
        <v>42654</v>
      </c>
      <c r="E16" s="1" t="b">
        <v>0</v>
      </c>
    </row>
    <row r="17" spans="1:5" x14ac:dyDescent="0.25">
      <c r="A17" s="1" t="s">
        <v>28</v>
      </c>
      <c r="B17" s="1">
        <v>1452</v>
      </c>
      <c r="C17" s="1" t="s">
        <v>14</v>
      </c>
      <c r="D17" s="2">
        <v>42654</v>
      </c>
      <c r="E17" s="1" t="b">
        <v>1</v>
      </c>
    </row>
    <row r="18" spans="1:5" x14ac:dyDescent="0.25">
      <c r="A18" s="1" t="s">
        <v>30</v>
      </c>
      <c r="B18" s="1">
        <v>1393</v>
      </c>
      <c r="C18" s="1" t="s">
        <v>105</v>
      </c>
      <c r="D18" s="2">
        <v>42654</v>
      </c>
      <c r="E18" s="1" t="b">
        <v>0</v>
      </c>
    </row>
    <row r="19" spans="1:5" x14ac:dyDescent="0.25">
      <c r="A19" s="1" t="s">
        <v>32</v>
      </c>
      <c r="B19" s="1">
        <v>141</v>
      </c>
      <c r="C19" s="1" t="s">
        <v>6</v>
      </c>
      <c r="D19" s="2">
        <v>42654</v>
      </c>
      <c r="E19" s="1" t="b">
        <v>1</v>
      </c>
    </row>
    <row r="20" spans="1:5" x14ac:dyDescent="0.25">
      <c r="A20" s="1" t="s">
        <v>33</v>
      </c>
      <c r="B20" s="1">
        <v>346</v>
      </c>
      <c r="C20" s="1" t="s">
        <v>8</v>
      </c>
      <c r="D20" s="2">
        <v>42654</v>
      </c>
      <c r="E20" s="1" t="b">
        <v>0</v>
      </c>
    </row>
    <row r="21" spans="1:5" x14ac:dyDescent="0.25">
      <c r="A21" s="1" t="s">
        <v>35</v>
      </c>
      <c r="B21" s="1">
        <v>614</v>
      </c>
      <c r="C21" s="1" t="s">
        <v>8</v>
      </c>
      <c r="D21" s="2">
        <v>42470</v>
      </c>
      <c r="E21" s="1" t="b">
        <v>0</v>
      </c>
    </row>
    <row r="22" spans="1:5" x14ac:dyDescent="0.25">
      <c r="A22" s="1" t="s">
        <v>36</v>
      </c>
      <c r="B22" s="1">
        <v>1330</v>
      </c>
      <c r="C22" s="1" t="s">
        <v>29</v>
      </c>
      <c r="D22" s="2">
        <v>42470</v>
      </c>
      <c r="E22" s="1" t="b">
        <v>0</v>
      </c>
    </row>
    <row r="23" spans="1:5" x14ac:dyDescent="0.25">
      <c r="A23" s="1" t="s">
        <v>37</v>
      </c>
      <c r="B23" s="1">
        <v>823</v>
      </c>
      <c r="C23" s="1" t="s">
        <v>116</v>
      </c>
      <c r="D23" s="2">
        <v>42470</v>
      </c>
      <c r="E23" s="1" t="b">
        <v>1</v>
      </c>
    </row>
    <row r="24" spans="1:5" x14ac:dyDescent="0.25">
      <c r="A24" s="1" t="s">
        <v>38</v>
      </c>
      <c r="B24" s="1">
        <v>1987</v>
      </c>
      <c r="C24" s="1" t="s">
        <v>116</v>
      </c>
      <c r="D24" s="2">
        <v>42470</v>
      </c>
      <c r="E24" s="1" t="b">
        <v>1</v>
      </c>
    </row>
    <row r="25" spans="1:5" x14ac:dyDescent="0.25">
      <c r="A25" s="1" t="s">
        <v>39</v>
      </c>
      <c r="B25" s="1">
        <v>97</v>
      </c>
      <c r="C25" s="1" t="s">
        <v>14</v>
      </c>
      <c r="D25" s="2">
        <v>42470</v>
      </c>
      <c r="E25" s="1" t="b">
        <v>1</v>
      </c>
    </row>
    <row r="26" spans="1:5" x14ac:dyDescent="0.25">
      <c r="A26" s="1" t="s">
        <v>40</v>
      </c>
      <c r="B26" s="1">
        <v>1140</v>
      </c>
      <c r="C26" s="1" t="s">
        <v>105</v>
      </c>
      <c r="D26" s="2">
        <v>42470</v>
      </c>
      <c r="E26" s="1" t="b">
        <v>0</v>
      </c>
    </row>
    <row r="27" spans="1:5" x14ac:dyDescent="0.25">
      <c r="A27" s="1" t="s">
        <v>41</v>
      </c>
      <c r="B27" s="1">
        <v>1677</v>
      </c>
      <c r="C27" s="1" t="s">
        <v>105</v>
      </c>
      <c r="D27" s="2">
        <v>42422</v>
      </c>
      <c r="E27" s="1" t="b">
        <v>0</v>
      </c>
    </row>
    <row r="28" spans="1:5" x14ac:dyDescent="0.25">
      <c r="A28" s="1" t="s">
        <v>42</v>
      </c>
      <c r="B28" s="1">
        <v>1161</v>
      </c>
      <c r="C28" s="1" t="s">
        <v>6</v>
      </c>
      <c r="D28" s="2">
        <v>42422</v>
      </c>
      <c r="E28" s="1" t="b">
        <v>1</v>
      </c>
    </row>
    <row r="29" spans="1:5" x14ac:dyDescent="0.25">
      <c r="A29" s="1" t="s">
        <v>43</v>
      </c>
      <c r="B29" s="1">
        <v>1429</v>
      </c>
      <c r="C29" s="1" t="s">
        <v>116</v>
      </c>
      <c r="D29" s="2">
        <v>42422</v>
      </c>
      <c r="E29" s="1" t="b">
        <v>1</v>
      </c>
    </row>
    <row r="30" spans="1:5" x14ac:dyDescent="0.25">
      <c r="A30" s="1" t="s">
        <v>44</v>
      </c>
      <c r="B30" s="1">
        <v>839</v>
      </c>
      <c r="C30" s="1" t="s">
        <v>117</v>
      </c>
      <c r="D30" s="2">
        <v>42422</v>
      </c>
      <c r="E30" s="1" t="b">
        <v>0</v>
      </c>
    </row>
    <row r="31" spans="1:5" x14ac:dyDescent="0.25">
      <c r="A31" s="1" t="s">
        <v>45</v>
      </c>
      <c r="B31" s="1">
        <v>435</v>
      </c>
      <c r="C31" s="1" t="s">
        <v>25</v>
      </c>
      <c r="D31" s="2">
        <v>42422</v>
      </c>
      <c r="E31" s="1" t="b">
        <v>1</v>
      </c>
    </row>
    <row r="32" spans="1:5" x14ac:dyDescent="0.25">
      <c r="A32" s="1" t="s">
        <v>46</v>
      </c>
      <c r="B32" s="1">
        <v>1304</v>
      </c>
      <c r="C32" s="1" t="s">
        <v>116</v>
      </c>
      <c r="D32" s="2">
        <v>42422</v>
      </c>
      <c r="E32" s="1" t="b">
        <v>1</v>
      </c>
    </row>
    <row r="33" spans="1:5" x14ac:dyDescent="0.25">
      <c r="A33" s="1" t="s">
        <v>47</v>
      </c>
      <c r="B33" s="1">
        <v>590</v>
      </c>
      <c r="C33" s="1" t="s">
        <v>6</v>
      </c>
      <c r="D33" s="2">
        <v>42526</v>
      </c>
      <c r="E33" s="1" t="b">
        <v>1</v>
      </c>
    </row>
    <row r="34" spans="1:5" x14ac:dyDescent="0.25">
      <c r="A34" s="1" t="s">
        <v>48</v>
      </c>
      <c r="B34" s="1">
        <v>1011</v>
      </c>
      <c r="C34" s="1" t="s">
        <v>67</v>
      </c>
      <c r="D34" s="2">
        <v>42526</v>
      </c>
      <c r="E34" s="1" t="b">
        <v>1</v>
      </c>
    </row>
    <row r="35" spans="1:5" x14ac:dyDescent="0.25">
      <c r="A35" s="1" t="s">
        <v>49</v>
      </c>
      <c r="B35" s="1">
        <v>165</v>
      </c>
      <c r="C35" s="1" t="s">
        <v>8</v>
      </c>
      <c r="D35" s="2">
        <v>42526</v>
      </c>
      <c r="E35" s="1" t="b">
        <v>0</v>
      </c>
    </row>
    <row r="36" spans="1:5" x14ac:dyDescent="0.25">
      <c r="A36" s="1" t="s">
        <v>50</v>
      </c>
      <c r="B36" s="1">
        <v>586</v>
      </c>
      <c r="C36" s="1" t="s">
        <v>6</v>
      </c>
      <c r="D36" s="2">
        <v>42526</v>
      </c>
      <c r="E36" s="1" t="b">
        <v>1</v>
      </c>
    </row>
    <row r="37" spans="1:5" x14ac:dyDescent="0.25">
      <c r="A37" s="1" t="s">
        <v>51</v>
      </c>
      <c r="B37" s="1">
        <v>1996</v>
      </c>
      <c r="C37" s="1" t="s">
        <v>29</v>
      </c>
      <c r="D37" s="2">
        <v>42526</v>
      </c>
      <c r="E37" s="1" t="b">
        <v>1</v>
      </c>
    </row>
    <row r="38" spans="1:5" x14ac:dyDescent="0.25">
      <c r="A38" s="1" t="s">
        <v>52</v>
      </c>
      <c r="B38" s="1">
        <v>256</v>
      </c>
      <c r="C38" s="1" t="s">
        <v>29</v>
      </c>
      <c r="D38" s="2">
        <v>42629</v>
      </c>
      <c r="E38" s="1" t="b">
        <v>0</v>
      </c>
    </row>
    <row r="39" spans="1:5" x14ac:dyDescent="0.25">
      <c r="A39" s="1" t="s">
        <v>53</v>
      </c>
      <c r="B39" s="1">
        <v>330</v>
      </c>
      <c r="C39" s="1" t="s">
        <v>6</v>
      </c>
      <c r="D39" s="2">
        <v>42629</v>
      </c>
      <c r="E39" s="1" t="b">
        <v>1</v>
      </c>
    </row>
    <row r="40" spans="1:5" x14ac:dyDescent="0.25">
      <c r="A40" s="1" t="s">
        <v>54</v>
      </c>
      <c r="B40" s="1">
        <v>533</v>
      </c>
      <c r="C40" s="1" t="s">
        <v>67</v>
      </c>
      <c r="D40" s="2">
        <v>42629</v>
      </c>
      <c r="E40" s="1" t="b">
        <v>1</v>
      </c>
    </row>
    <row r="41" spans="1:5" x14ac:dyDescent="0.25">
      <c r="A41" s="1" t="s">
        <v>55</v>
      </c>
      <c r="B41" s="1">
        <v>1753</v>
      </c>
      <c r="C41" s="1" t="s">
        <v>6</v>
      </c>
      <c r="D41" s="2">
        <v>42629</v>
      </c>
      <c r="E41" s="1" t="b">
        <v>1</v>
      </c>
    </row>
    <row r="42" spans="1:5" x14ac:dyDescent="0.25">
      <c r="A42" s="1" t="s">
        <v>56</v>
      </c>
      <c r="B42" s="1">
        <v>1130</v>
      </c>
      <c r="C42" s="1" t="s">
        <v>117</v>
      </c>
      <c r="D42" s="2">
        <v>42629</v>
      </c>
      <c r="E42" s="1" t="b">
        <v>0</v>
      </c>
    </row>
    <row r="43" spans="1:5" x14ac:dyDescent="0.25">
      <c r="A43" s="1" t="s">
        <v>57</v>
      </c>
      <c r="B43" s="1">
        <v>810</v>
      </c>
      <c r="C43" s="1" t="s">
        <v>105</v>
      </c>
      <c r="D43" s="2">
        <v>42629</v>
      </c>
      <c r="E43" s="1" t="b">
        <v>0</v>
      </c>
    </row>
    <row r="44" spans="1:5" x14ac:dyDescent="0.25">
      <c r="A44" s="1" t="s">
        <v>58</v>
      </c>
      <c r="B44" s="1">
        <v>365</v>
      </c>
      <c r="C44" s="1" t="s">
        <v>14</v>
      </c>
      <c r="D44" s="2">
        <v>42629</v>
      </c>
      <c r="E44" s="1" t="b">
        <v>1</v>
      </c>
    </row>
    <row r="45" spans="1:5" x14ac:dyDescent="0.25">
      <c r="A45" s="1" t="s">
        <v>59</v>
      </c>
      <c r="B45" s="1">
        <v>735</v>
      </c>
      <c r="C45" s="1" t="s">
        <v>8</v>
      </c>
      <c r="D45" s="2">
        <v>42582</v>
      </c>
      <c r="E45" s="1" t="b">
        <v>0</v>
      </c>
    </row>
    <row r="46" spans="1:5" x14ac:dyDescent="0.25">
      <c r="A46" s="1" t="s">
        <v>60</v>
      </c>
      <c r="B46" s="1">
        <v>1148</v>
      </c>
      <c r="C46" s="1" t="s">
        <v>67</v>
      </c>
      <c r="D46" s="2">
        <v>42582</v>
      </c>
      <c r="E46" s="1" t="b">
        <v>1</v>
      </c>
    </row>
    <row r="47" spans="1:5" x14ac:dyDescent="0.25">
      <c r="A47" s="1" t="s">
        <v>61</v>
      </c>
      <c r="B47" s="1">
        <v>1499</v>
      </c>
      <c r="C47" s="1" t="s">
        <v>6</v>
      </c>
      <c r="D47" s="2">
        <v>42582</v>
      </c>
      <c r="E47" s="1" t="b">
        <v>1</v>
      </c>
    </row>
    <row r="48" spans="1:5" x14ac:dyDescent="0.25">
      <c r="A48" s="1" t="s">
        <v>62</v>
      </c>
      <c r="B48" s="1">
        <v>436</v>
      </c>
      <c r="C48" s="1" t="s">
        <v>14</v>
      </c>
      <c r="D48" s="2">
        <v>42582</v>
      </c>
      <c r="E48" s="1" t="b">
        <v>1</v>
      </c>
    </row>
    <row r="49" spans="1:5" x14ac:dyDescent="0.25">
      <c r="A49" s="1" t="s">
        <v>63</v>
      </c>
      <c r="B49" s="1">
        <v>1808</v>
      </c>
      <c r="C49" s="1" t="s">
        <v>8</v>
      </c>
      <c r="D49" s="2">
        <v>42582</v>
      </c>
      <c r="E49" s="1" t="b">
        <v>0</v>
      </c>
    </row>
    <row r="50" spans="1:5" x14ac:dyDescent="0.25">
      <c r="A50" s="1" t="s">
        <v>64</v>
      </c>
      <c r="B50" s="1">
        <v>1293</v>
      </c>
      <c r="C50" s="1" t="s">
        <v>8</v>
      </c>
      <c r="D50" s="2">
        <v>42582</v>
      </c>
      <c r="E50" s="1" t="b">
        <v>0</v>
      </c>
    </row>
    <row r="51" spans="1:5" x14ac:dyDescent="0.25">
      <c r="A51" s="1" t="s">
        <v>65</v>
      </c>
      <c r="B51" s="1">
        <v>1601</v>
      </c>
      <c r="C51" s="1" t="s">
        <v>8</v>
      </c>
      <c r="D51" s="2">
        <v>42582</v>
      </c>
      <c r="E51" s="1" t="b">
        <v>0</v>
      </c>
    </row>
    <row r="52" spans="1:5" x14ac:dyDescent="0.25">
      <c r="A52" s="1" t="s">
        <v>66</v>
      </c>
      <c r="B52" s="1">
        <v>624</v>
      </c>
      <c r="C52" s="1" t="s">
        <v>8</v>
      </c>
      <c r="D52" s="2">
        <v>42397</v>
      </c>
      <c r="E52" s="1" t="b">
        <v>0</v>
      </c>
    </row>
    <row r="53" spans="1:5" x14ac:dyDescent="0.25">
      <c r="A53" s="1" t="s">
        <v>10</v>
      </c>
      <c r="B53" s="1">
        <v>587</v>
      </c>
      <c r="C53" s="1" t="s">
        <v>14</v>
      </c>
      <c r="D53" s="2">
        <v>42545</v>
      </c>
      <c r="E53" s="1" t="b">
        <v>1</v>
      </c>
    </row>
    <row r="54" spans="1:5" x14ac:dyDescent="0.25">
      <c r="A54" s="1" t="s">
        <v>12</v>
      </c>
      <c r="B54" s="1">
        <v>1303</v>
      </c>
      <c r="C54" s="1" t="s">
        <v>14</v>
      </c>
      <c r="D54" s="2">
        <v>42648</v>
      </c>
      <c r="E54" s="1" t="b">
        <v>1</v>
      </c>
    </row>
    <row r="55" spans="1:5" x14ac:dyDescent="0.25">
      <c r="A55" s="1" t="s">
        <v>13</v>
      </c>
      <c r="B55" s="1">
        <v>764</v>
      </c>
      <c r="C55" s="1" t="s">
        <v>6</v>
      </c>
      <c r="D55" s="2">
        <v>42648</v>
      </c>
      <c r="E55" s="1" t="b">
        <v>1</v>
      </c>
    </row>
    <row r="56" spans="1:5" x14ac:dyDescent="0.25">
      <c r="A56" s="1" t="s">
        <v>15</v>
      </c>
      <c r="B56" s="1">
        <v>1332</v>
      </c>
      <c r="C56" s="1" t="s">
        <v>105</v>
      </c>
      <c r="D56" s="2">
        <v>42648</v>
      </c>
      <c r="E56" s="1" t="b">
        <v>0</v>
      </c>
    </row>
    <row r="57" spans="1:5" x14ac:dyDescent="0.25">
      <c r="A57" s="1" t="s">
        <v>16</v>
      </c>
      <c r="B57" s="1">
        <v>1600</v>
      </c>
      <c r="C57" s="1" t="s">
        <v>105</v>
      </c>
      <c r="D57" s="2">
        <v>42648</v>
      </c>
      <c r="E57" s="1" t="b">
        <v>0</v>
      </c>
    </row>
    <row r="58" spans="1:5" x14ac:dyDescent="0.25">
      <c r="A58" s="1" t="s">
        <v>17</v>
      </c>
      <c r="B58" s="1">
        <v>1093</v>
      </c>
      <c r="C58" s="1" t="s">
        <v>25</v>
      </c>
      <c r="D58" s="2">
        <v>42648</v>
      </c>
      <c r="E58" s="1" t="b">
        <v>1</v>
      </c>
    </row>
    <row r="59" spans="1:5" x14ac:dyDescent="0.25">
      <c r="A59" s="1" t="s">
        <v>19</v>
      </c>
      <c r="B59" s="1">
        <v>1809</v>
      </c>
      <c r="C59" s="1" t="s">
        <v>25</v>
      </c>
      <c r="D59" s="2">
        <v>42464</v>
      </c>
      <c r="E59" s="1" t="b">
        <v>1</v>
      </c>
    </row>
    <row r="60" spans="1:5" x14ac:dyDescent="0.25">
      <c r="A60" s="1" t="s">
        <v>20</v>
      </c>
      <c r="B60" s="1">
        <v>526</v>
      </c>
      <c r="C60" s="1" t="s">
        <v>9</v>
      </c>
      <c r="D60" s="2">
        <v>42464</v>
      </c>
      <c r="E60" s="1" t="b">
        <v>0</v>
      </c>
    </row>
    <row r="61" spans="1:5" x14ac:dyDescent="0.25">
      <c r="A61" s="1" t="s">
        <v>21</v>
      </c>
      <c r="B61" s="1">
        <v>1838</v>
      </c>
      <c r="C61" s="1" t="s">
        <v>116</v>
      </c>
      <c r="D61" s="2">
        <v>42464</v>
      </c>
      <c r="E61" s="1" t="b">
        <v>1</v>
      </c>
    </row>
    <row r="62" spans="1:5" x14ac:dyDescent="0.25">
      <c r="A62" s="1" t="s">
        <v>22</v>
      </c>
      <c r="B62" s="1">
        <v>1331</v>
      </c>
      <c r="C62" s="1" t="s">
        <v>9</v>
      </c>
      <c r="D62" s="2">
        <v>42464</v>
      </c>
      <c r="E62" s="1" t="b">
        <v>0</v>
      </c>
    </row>
    <row r="63" spans="1:5" x14ac:dyDescent="0.25">
      <c r="A63" s="1" t="s">
        <v>23</v>
      </c>
      <c r="B63" s="1">
        <v>676</v>
      </c>
      <c r="C63" s="1" t="s">
        <v>117</v>
      </c>
      <c r="D63" s="2">
        <v>42464</v>
      </c>
      <c r="E63" s="1" t="b">
        <v>0</v>
      </c>
    </row>
    <row r="64" spans="1:5" x14ac:dyDescent="0.25">
      <c r="A64" s="1" t="s">
        <v>24</v>
      </c>
      <c r="B64" s="1">
        <v>912</v>
      </c>
      <c r="C64" s="1" t="s">
        <v>14</v>
      </c>
      <c r="D64" s="2">
        <v>42464</v>
      </c>
      <c r="E64" s="1" t="b">
        <v>1</v>
      </c>
    </row>
    <row r="65" spans="1:5" x14ac:dyDescent="0.25">
      <c r="A65" s="1" t="s">
        <v>26</v>
      </c>
      <c r="B65" s="1">
        <v>847</v>
      </c>
      <c r="C65" s="1" t="s">
        <v>117</v>
      </c>
      <c r="D65" s="2">
        <v>42416</v>
      </c>
      <c r="E65" s="1" t="b">
        <v>0</v>
      </c>
    </row>
    <row r="66" spans="1:5" x14ac:dyDescent="0.25">
      <c r="A66" s="1" t="s">
        <v>27</v>
      </c>
      <c r="B66" s="1">
        <v>1754</v>
      </c>
      <c r="C66" s="1" t="s">
        <v>105</v>
      </c>
      <c r="D66" s="2">
        <v>42416</v>
      </c>
      <c r="E66" s="1" t="b">
        <v>0</v>
      </c>
    </row>
    <row r="67" spans="1:5" x14ac:dyDescent="0.25">
      <c r="A67" s="1" t="s">
        <v>28</v>
      </c>
      <c r="B67" s="1">
        <v>218</v>
      </c>
      <c r="C67" s="1" t="s">
        <v>105</v>
      </c>
      <c r="D67" s="2">
        <v>42416</v>
      </c>
      <c r="E67" s="1" t="b">
        <v>0</v>
      </c>
    </row>
    <row r="68" spans="1:5" x14ac:dyDescent="0.25">
      <c r="A68" s="1" t="s">
        <v>30</v>
      </c>
      <c r="B68" s="1">
        <v>1752</v>
      </c>
      <c r="C68" s="1" t="s">
        <v>117</v>
      </c>
      <c r="D68" s="2">
        <v>42416</v>
      </c>
      <c r="E68" s="1" t="b">
        <v>0</v>
      </c>
    </row>
    <row r="69" spans="1:5" x14ac:dyDescent="0.25">
      <c r="A69" s="1" t="s">
        <v>32</v>
      </c>
      <c r="B69" s="1">
        <v>1587</v>
      </c>
      <c r="C69" s="1" t="s">
        <v>105</v>
      </c>
      <c r="D69" s="2">
        <v>42416</v>
      </c>
      <c r="E69" s="1" t="b">
        <v>0</v>
      </c>
    </row>
    <row r="70" spans="1:5" x14ac:dyDescent="0.25">
      <c r="A70" s="1" t="s">
        <v>33</v>
      </c>
      <c r="B70" s="1">
        <v>1154</v>
      </c>
      <c r="C70" s="1" t="s">
        <v>105</v>
      </c>
      <c r="D70" s="2">
        <v>42416</v>
      </c>
      <c r="E70" s="1" t="b">
        <v>0</v>
      </c>
    </row>
    <row r="71" spans="1:5" x14ac:dyDescent="0.25">
      <c r="A71" s="1" t="s">
        <v>35</v>
      </c>
      <c r="B71" s="1">
        <v>1986</v>
      </c>
      <c r="C71" s="1" t="s">
        <v>29</v>
      </c>
      <c r="D71" s="2">
        <v>42520</v>
      </c>
      <c r="E71" s="1" t="b">
        <v>1</v>
      </c>
    </row>
    <row r="72" spans="1:5" x14ac:dyDescent="0.25">
      <c r="A72" s="1" t="s">
        <v>36</v>
      </c>
      <c r="B72" s="1">
        <v>998</v>
      </c>
      <c r="C72" s="1" t="s">
        <v>8</v>
      </c>
      <c r="D72" s="2">
        <v>42520</v>
      </c>
      <c r="E72" s="1" t="b">
        <v>0</v>
      </c>
    </row>
    <row r="73" spans="1:5" x14ac:dyDescent="0.25">
      <c r="A73" s="1" t="s">
        <v>37</v>
      </c>
      <c r="B73" s="1">
        <v>343</v>
      </c>
      <c r="C73" s="1" t="s">
        <v>9</v>
      </c>
      <c r="D73" s="2">
        <v>42520</v>
      </c>
      <c r="E73" s="1" t="b">
        <v>0</v>
      </c>
    </row>
    <row r="74" spans="1:5" x14ac:dyDescent="0.25">
      <c r="A74" s="1" t="s">
        <v>38</v>
      </c>
      <c r="B74" s="1">
        <v>284</v>
      </c>
      <c r="C74" s="1" t="s">
        <v>14</v>
      </c>
      <c r="D74" s="2">
        <v>42520</v>
      </c>
      <c r="E74" s="1" t="b">
        <v>1</v>
      </c>
    </row>
    <row r="75" spans="1:5" x14ac:dyDescent="0.25">
      <c r="A75" s="1" t="s">
        <v>39</v>
      </c>
      <c r="B75" s="1">
        <v>1296</v>
      </c>
      <c r="C75" s="1" t="s">
        <v>116</v>
      </c>
      <c r="D75" s="2">
        <v>42520</v>
      </c>
      <c r="E75" s="1" t="b">
        <v>1</v>
      </c>
    </row>
    <row r="76" spans="1:5" x14ac:dyDescent="0.25">
      <c r="A76" s="1" t="s">
        <v>40</v>
      </c>
      <c r="B76" s="1">
        <v>493</v>
      </c>
      <c r="C76" s="1" t="s">
        <v>117</v>
      </c>
      <c r="D76" s="2">
        <v>42623</v>
      </c>
      <c r="E76" s="1" t="b">
        <v>0</v>
      </c>
    </row>
    <row r="77" spans="1:5" x14ac:dyDescent="0.25">
      <c r="A77" s="1" t="s">
        <v>41</v>
      </c>
      <c r="B77" s="1">
        <v>281</v>
      </c>
      <c r="C77" s="1" t="s">
        <v>14</v>
      </c>
      <c r="D77" s="2">
        <v>42623</v>
      </c>
      <c r="E77" s="1" t="b">
        <v>1</v>
      </c>
    </row>
    <row r="78" spans="1:5" x14ac:dyDescent="0.25">
      <c r="A78" s="1" t="s">
        <v>42</v>
      </c>
      <c r="B78" s="1">
        <v>1772</v>
      </c>
      <c r="C78" s="1" t="s">
        <v>105</v>
      </c>
      <c r="D78" s="2">
        <v>42623</v>
      </c>
      <c r="E78" s="1" t="b">
        <v>0</v>
      </c>
    </row>
    <row r="79" spans="1:5" x14ac:dyDescent="0.25">
      <c r="A79" s="1" t="s">
        <v>43</v>
      </c>
      <c r="B79" s="1">
        <v>489</v>
      </c>
      <c r="C79" s="1" t="s">
        <v>6</v>
      </c>
      <c r="D79" s="2">
        <v>42623</v>
      </c>
      <c r="E79" s="1" t="b">
        <v>1</v>
      </c>
    </row>
    <row r="80" spans="1:5" x14ac:dyDescent="0.25">
      <c r="A80" s="1" t="s">
        <v>44</v>
      </c>
      <c r="B80" s="1">
        <v>1802</v>
      </c>
      <c r="C80" s="1" t="s">
        <v>8</v>
      </c>
      <c r="D80" s="2">
        <v>42623</v>
      </c>
      <c r="E80" s="1" t="b">
        <v>0</v>
      </c>
    </row>
    <row r="81" spans="1:5" x14ac:dyDescent="0.25">
      <c r="A81" s="1" t="s">
        <v>45</v>
      </c>
      <c r="B81" s="1">
        <v>371</v>
      </c>
      <c r="C81" s="1" t="s">
        <v>116</v>
      </c>
      <c r="D81" s="2">
        <v>42576</v>
      </c>
      <c r="E81" s="1" t="b">
        <v>1</v>
      </c>
    </row>
    <row r="82" spans="1:5" x14ac:dyDescent="0.25">
      <c r="A82" s="1" t="s">
        <v>46</v>
      </c>
      <c r="B82" s="1">
        <v>1235</v>
      </c>
      <c r="C82" s="1" t="s">
        <v>29</v>
      </c>
      <c r="D82" s="2">
        <v>42576</v>
      </c>
      <c r="E82" s="1" t="b">
        <v>0</v>
      </c>
    </row>
    <row r="83" spans="1:5" x14ac:dyDescent="0.25">
      <c r="A83" s="1" t="s">
        <v>47</v>
      </c>
      <c r="B83" s="1">
        <v>1324</v>
      </c>
      <c r="C83" s="1" t="s">
        <v>67</v>
      </c>
      <c r="D83" s="2">
        <v>42576</v>
      </c>
      <c r="E83" s="1" t="b">
        <v>1</v>
      </c>
    </row>
    <row r="84" spans="1:5" x14ac:dyDescent="0.25">
      <c r="A84" s="1" t="s">
        <v>48</v>
      </c>
      <c r="B84" s="1">
        <v>198</v>
      </c>
      <c r="C84" s="1" t="s">
        <v>25</v>
      </c>
      <c r="D84" s="2">
        <v>42576</v>
      </c>
      <c r="E84" s="1" t="b">
        <v>1</v>
      </c>
    </row>
    <row r="85" spans="1:5" x14ac:dyDescent="0.25">
      <c r="A85" s="1" t="s">
        <v>49</v>
      </c>
      <c r="B85" s="1">
        <v>1067</v>
      </c>
      <c r="C85" s="1" t="s">
        <v>8</v>
      </c>
      <c r="D85" s="2">
        <v>42576</v>
      </c>
      <c r="E85" s="1" t="b">
        <v>0</v>
      </c>
    </row>
    <row r="86" spans="1:5" x14ac:dyDescent="0.25">
      <c r="A86" s="1" t="s">
        <v>50</v>
      </c>
      <c r="B86" s="1">
        <v>1468</v>
      </c>
      <c r="C86" s="1" t="s">
        <v>9</v>
      </c>
      <c r="D86" s="2">
        <v>42576</v>
      </c>
      <c r="E86" s="1" t="b">
        <v>0</v>
      </c>
    </row>
    <row r="87" spans="1:5" x14ac:dyDescent="0.25">
      <c r="A87" s="1" t="s">
        <v>51</v>
      </c>
      <c r="B87" s="1">
        <v>186</v>
      </c>
      <c r="C87" s="1" t="s">
        <v>105</v>
      </c>
      <c r="D87" s="2">
        <v>42391</v>
      </c>
      <c r="E87" s="1" t="b">
        <v>0</v>
      </c>
    </row>
    <row r="88" spans="1:5" x14ac:dyDescent="0.25">
      <c r="A88" s="1" t="s">
        <v>52</v>
      </c>
      <c r="B88" s="1">
        <v>1713</v>
      </c>
      <c r="C88" s="1" t="s">
        <v>105</v>
      </c>
      <c r="D88" s="2">
        <v>42391</v>
      </c>
      <c r="E88" s="1" t="b">
        <v>0</v>
      </c>
    </row>
    <row r="89" spans="1:5" x14ac:dyDescent="0.25">
      <c r="A89" s="1" t="s">
        <v>53</v>
      </c>
      <c r="B89" s="1">
        <v>1628</v>
      </c>
      <c r="C89" s="1" t="s">
        <v>9</v>
      </c>
      <c r="D89" s="2">
        <v>42391</v>
      </c>
      <c r="E89" s="1" t="b">
        <v>0</v>
      </c>
    </row>
    <row r="90" spans="1:5" x14ac:dyDescent="0.25">
      <c r="A90" s="1" t="s">
        <v>54</v>
      </c>
      <c r="B90" s="1">
        <v>182</v>
      </c>
      <c r="C90" s="1" t="s">
        <v>8</v>
      </c>
      <c r="D90" s="2">
        <v>42391</v>
      </c>
      <c r="E90" s="1" t="b">
        <v>0</v>
      </c>
    </row>
    <row r="91" spans="1:5" x14ac:dyDescent="0.25">
      <c r="A91" s="1" t="s">
        <v>55</v>
      </c>
      <c r="B91" s="1">
        <v>1861</v>
      </c>
      <c r="C91" s="1" t="s">
        <v>117</v>
      </c>
      <c r="D91" s="2">
        <v>42391</v>
      </c>
      <c r="E91" s="1" t="b">
        <v>0</v>
      </c>
    </row>
    <row r="92" spans="1:5" x14ac:dyDescent="0.25">
      <c r="A92" s="1" t="s">
        <v>56</v>
      </c>
      <c r="B92" s="1">
        <v>632</v>
      </c>
      <c r="C92" s="1" t="s">
        <v>9</v>
      </c>
      <c r="D92" s="2">
        <v>42391</v>
      </c>
      <c r="E92" s="1" t="b">
        <v>0</v>
      </c>
    </row>
    <row r="93" spans="1:5" x14ac:dyDescent="0.25">
      <c r="A93" s="1" t="s">
        <v>57</v>
      </c>
      <c r="B93" s="1">
        <v>1268</v>
      </c>
      <c r="C93" s="1" t="s">
        <v>117</v>
      </c>
      <c r="D93" s="2">
        <v>42632</v>
      </c>
      <c r="E93" s="1" t="b">
        <v>0</v>
      </c>
    </row>
    <row r="94" spans="1:5" x14ac:dyDescent="0.25">
      <c r="A94" s="1" t="s">
        <v>58</v>
      </c>
      <c r="B94" s="1">
        <v>536</v>
      </c>
      <c r="C94" s="1" t="s">
        <v>6</v>
      </c>
      <c r="D94" s="2">
        <v>42632</v>
      </c>
      <c r="E94" s="1" t="b">
        <v>1</v>
      </c>
    </row>
    <row r="95" spans="1:5" x14ac:dyDescent="0.25">
      <c r="A95" s="1" t="s">
        <v>59</v>
      </c>
      <c r="B95" s="1">
        <v>1324</v>
      </c>
      <c r="C95" s="1" t="s">
        <v>105</v>
      </c>
      <c r="D95" s="2">
        <v>42632</v>
      </c>
      <c r="E95" s="1" t="b">
        <v>0</v>
      </c>
    </row>
    <row r="96" spans="1:5" x14ac:dyDescent="0.25">
      <c r="A96" s="1" t="s">
        <v>60</v>
      </c>
      <c r="B96" s="1">
        <v>1762</v>
      </c>
      <c r="C96" s="1" t="s">
        <v>6</v>
      </c>
      <c r="D96" s="2">
        <v>42632</v>
      </c>
      <c r="E96" s="1" t="b">
        <v>1</v>
      </c>
    </row>
    <row r="97" spans="1:5" x14ac:dyDescent="0.25">
      <c r="A97" s="1" t="s">
        <v>61</v>
      </c>
      <c r="B97" s="1">
        <v>511</v>
      </c>
      <c r="C97" s="1" t="s">
        <v>6</v>
      </c>
      <c r="D97" s="2">
        <v>42632</v>
      </c>
      <c r="E97" s="1" t="b">
        <v>1</v>
      </c>
    </row>
    <row r="98" spans="1:5" x14ac:dyDescent="0.25">
      <c r="A98" s="1" t="s">
        <v>62</v>
      </c>
      <c r="B98" s="1">
        <v>752</v>
      </c>
      <c r="C98" s="1" t="s">
        <v>14</v>
      </c>
      <c r="D98" s="2">
        <v>42632</v>
      </c>
      <c r="E98" s="1" t="b">
        <v>1</v>
      </c>
    </row>
    <row r="99" spans="1:5" x14ac:dyDescent="0.25">
      <c r="A99" s="1" t="s">
        <v>63</v>
      </c>
      <c r="B99" s="1">
        <v>1020</v>
      </c>
      <c r="C99" s="1" t="s">
        <v>67</v>
      </c>
      <c r="D99" s="2">
        <v>42632</v>
      </c>
      <c r="E99" s="1" t="b">
        <v>1</v>
      </c>
    </row>
    <row r="100" spans="1:5" x14ac:dyDescent="0.25">
      <c r="A100" s="1" t="s">
        <v>64</v>
      </c>
      <c r="B100" s="1">
        <v>548</v>
      </c>
      <c r="C100" s="1" t="s">
        <v>9</v>
      </c>
      <c r="D100" s="2">
        <v>42448</v>
      </c>
      <c r="E100" s="1" t="b">
        <v>0</v>
      </c>
    </row>
    <row r="101" spans="1:5" x14ac:dyDescent="0.25">
      <c r="A101" s="1" t="s">
        <v>65</v>
      </c>
      <c r="B101" s="1">
        <v>802</v>
      </c>
      <c r="C101" s="1" t="s">
        <v>105</v>
      </c>
      <c r="D101" s="2">
        <v>42448</v>
      </c>
      <c r="E101" s="1" t="b">
        <v>0</v>
      </c>
    </row>
    <row r="102" spans="1:5" x14ac:dyDescent="0.25">
      <c r="A102" s="1" t="s">
        <v>66</v>
      </c>
      <c r="B102" s="1">
        <v>970</v>
      </c>
      <c r="C102" s="1" t="s">
        <v>29</v>
      </c>
      <c r="D102" s="2">
        <v>42448</v>
      </c>
      <c r="E102" s="1" t="b">
        <v>0</v>
      </c>
    </row>
    <row r="103" spans="1:5" x14ac:dyDescent="0.25">
      <c r="A103" s="1" t="s">
        <v>10</v>
      </c>
      <c r="B103" s="1">
        <v>237</v>
      </c>
      <c r="C103" s="1" t="s">
        <v>117</v>
      </c>
      <c r="D103" s="2">
        <v>42460</v>
      </c>
      <c r="E103" s="1" t="b">
        <v>0</v>
      </c>
    </row>
    <row r="104" spans="1:5" x14ac:dyDescent="0.25">
      <c r="A104" s="1" t="s">
        <v>12</v>
      </c>
      <c r="B104" s="1">
        <v>89</v>
      </c>
      <c r="C104" s="1" t="s">
        <v>67</v>
      </c>
      <c r="D104" s="2">
        <v>42564</v>
      </c>
      <c r="E104" s="1" t="b">
        <v>1</v>
      </c>
    </row>
    <row r="105" spans="1:5" x14ac:dyDescent="0.25">
      <c r="A105" s="1" t="s">
        <v>13</v>
      </c>
      <c r="B105" s="1">
        <v>417</v>
      </c>
      <c r="C105" s="1" t="s">
        <v>25</v>
      </c>
      <c r="D105" s="2">
        <v>42517</v>
      </c>
      <c r="E105" s="1" t="b">
        <v>1</v>
      </c>
    </row>
    <row r="106" spans="1:5" x14ac:dyDescent="0.25">
      <c r="A106" s="1" t="s">
        <v>15</v>
      </c>
      <c r="B106" s="1">
        <v>417</v>
      </c>
      <c r="C106" s="1" t="s">
        <v>67</v>
      </c>
      <c r="D106" s="2">
        <v>42621</v>
      </c>
      <c r="E106" s="1" t="b">
        <v>1</v>
      </c>
    </row>
    <row r="107" spans="1:5" x14ac:dyDescent="0.25">
      <c r="A107" s="1" t="s">
        <v>16</v>
      </c>
      <c r="B107" s="1">
        <v>1673</v>
      </c>
      <c r="C107" s="1" t="s">
        <v>29</v>
      </c>
      <c r="D107" s="2">
        <v>42435</v>
      </c>
      <c r="E107" s="1" t="b">
        <v>0</v>
      </c>
    </row>
    <row r="108" spans="1:5" x14ac:dyDescent="0.25">
      <c r="A108" s="1" t="s">
        <v>17</v>
      </c>
      <c r="B108" s="1">
        <v>629</v>
      </c>
      <c r="C108" s="1" t="s">
        <v>105</v>
      </c>
      <c r="D108" s="2">
        <v>42387</v>
      </c>
      <c r="E108" s="1" t="b">
        <v>0</v>
      </c>
    </row>
    <row r="109" spans="1:5" x14ac:dyDescent="0.25">
      <c r="A109" s="1" t="s">
        <v>19</v>
      </c>
      <c r="B109" s="1">
        <v>758</v>
      </c>
      <c r="C109" s="1" t="s">
        <v>29</v>
      </c>
      <c r="D109" s="2">
        <v>42491</v>
      </c>
      <c r="E109" s="1" t="b">
        <v>0</v>
      </c>
    </row>
    <row r="110" spans="1:5" x14ac:dyDescent="0.25">
      <c r="A110" s="1" t="s">
        <v>20</v>
      </c>
      <c r="B110" s="1">
        <v>162</v>
      </c>
      <c r="C110" s="1" t="s">
        <v>117</v>
      </c>
      <c r="D110" s="2">
        <v>42548</v>
      </c>
      <c r="E110" s="1" t="b">
        <v>0</v>
      </c>
    </row>
    <row r="111" spans="1:5" x14ac:dyDescent="0.25">
      <c r="A111" s="1" t="s">
        <v>21</v>
      </c>
      <c r="B111" s="1">
        <v>1713</v>
      </c>
      <c r="C111" s="1" t="s">
        <v>9</v>
      </c>
      <c r="D111" s="2">
        <v>42652</v>
      </c>
      <c r="E111" s="1" t="b">
        <v>0</v>
      </c>
    </row>
    <row r="112" spans="1:5" x14ac:dyDescent="0.25">
      <c r="A112" s="1" t="s">
        <v>22</v>
      </c>
      <c r="B112" s="1">
        <v>638</v>
      </c>
      <c r="C112" s="1" t="s">
        <v>14</v>
      </c>
      <c r="D112" s="2">
        <v>42605</v>
      </c>
      <c r="E112" s="1" t="b">
        <v>1</v>
      </c>
    </row>
    <row r="113" spans="1:5" x14ac:dyDescent="0.25">
      <c r="A113" s="1" t="s">
        <v>23</v>
      </c>
      <c r="B113" s="1">
        <v>1118</v>
      </c>
      <c r="C113" s="1" t="s">
        <v>105</v>
      </c>
      <c r="D113" s="2">
        <v>42419</v>
      </c>
      <c r="E113" s="1" t="b">
        <v>0</v>
      </c>
    </row>
    <row r="114" spans="1:5" x14ac:dyDescent="0.25">
      <c r="A114" s="1" t="s">
        <v>24</v>
      </c>
      <c r="B114" s="1">
        <v>74</v>
      </c>
      <c r="C114" s="1" t="s">
        <v>8</v>
      </c>
      <c r="D114" s="2">
        <v>42523</v>
      </c>
      <c r="E114" s="1" t="b">
        <v>0</v>
      </c>
    </row>
    <row r="115" spans="1:5" x14ac:dyDescent="0.25">
      <c r="A115" s="1" t="s">
        <v>26</v>
      </c>
      <c r="B115" s="1">
        <v>1247</v>
      </c>
      <c r="C115" s="1" t="s">
        <v>29</v>
      </c>
      <c r="D115" s="2">
        <v>42475</v>
      </c>
      <c r="E115" s="1" t="b">
        <v>0</v>
      </c>
    </row>
    <row r="116" spans="1:5" x14ac:dyDescent="0.25">
      <c r="A116" s="1" t="s">
        <v>27</v>
      </c>
      <c r="B116" s="1">
        <v>1395</v>
      </c>
      <c r="C116" s="1" t="s">
        <v>25</v>
      </c>
      <c r="D116" s="2">
        <v>42579</v>
      </c>
      <c r="E116" s="1" t="b">
        <v>1</v>
      </c>
    </row>
    <row r="117" spans="1:5" x14ac:dyDescent="0.25">
      <c r="A117" s="1" t="s">
        <v>28</v>
      </c>
      <c r="B117" s="1">
        <v>1427</v>
      </c>
      <c r="C117" s="1" t="s">
        <v>14</v>
      </c>
      <c r="D117" s="2">
        <v>42532</v>
      </c>
      <c r="E117" s="1" t="b">
        <v>1</v>
      </c>
    </row>
    <row r="118" spans="1:5" x14ac:dyDescent="0.25">
      <c r="A118" s="1" t="s">
        <v>30</v>
      </c>
      <c r="B118" s="1">
        <v>684</v>
      </c>
      <c r="C118" s="1" t="s">
        <v>8</v>
      </c>
      <c r="D118" s="2">
        <v>42636</v>
      </c>
      <c r="E118" s="1" t="b">
        <v>0</v>
      </c>
    </row>
    <row r="119" spans="1:5" x14ac:dyDescent="0.25">
      <c r="A119" s="1" t="s">
        <v>32</v>
      </c>
      <c r="B119" s="1">
        <v>88</v>
      </c>
      <c r="C119" s="1" t="s">
        <v>105</v>
      </c>
      <c r="D119" s="2">
        <v>42450</v>
      </c>
      <c r="E119" s="1" t="b">
        <v>0</v>
      </c>
    </row>
    <row r="120" spans="1:5" x14ac:dyDescent="0.25">
      <c r="A120" s="1" t="s">
        <v>33</v>
      </c>
      <c r="B120" s="1">
        <v>89</v>
      </c>
      <c r="C120" s="1" t="s">
        <v>25</v>
      </c>
      <c r="D120" s="2">
        <v>42403</v>
      </c>
      <c r="E120" s="1" t="b">
        <v>1</v>
      </c>
    </row>
    <row r="121" spans="1:5" x14ac:dyDescent="0.25">
      <c r="A121" s="1" t="s">
        <v>35</v>
      </c>
      <c r="B121" s="1">
        <v>1799</v>
      </c>
      <c r="C121" s="1" t="s">
        <v>8</v>
      </c>
      <c r="D121" s="2">
        <v>42507</v>
      </c>
      <c r="E121" s="1" t="b">
        <v>0</v>
      </c>
    </row>
    <row r="122" spans="1:5" x14ac:dyDescent="0.25">
      <c r="A122" s="1" t="s">
        <v>36</v>
      </c>
      <c r="B122" s="1">
        <v>877</v>
      </c>
      <c r="C122" s="1" t="s">
        <v>8</v>
      </c>
      <c r="D122" s="2">
        <v>42611</v>
      </c>
      <c r="E122" s="1" t="b">
        <v>0</v>
      </c>
    </row>
    <row r="123" spans="1:5" x14ac:dyDescent="0.25">
      <c r="A123" s="1" t="s">
        <v>37</v>
      </c>
      <c r="B123" s="1">
        <v>1800</v>
      </c>
      <c r="C123" s="1" t="s">
        <v>6</v>
      </c>
      <c r="D123" s="2">
        <v>42563</v>
      </c>
      <c r="E123" s="1" t="b">
        <v>1</v>
      </c>
    </row>
    <row r="124" spans="1:5" x14ac:dyDescent="0.25">
      <c r="A124" s="1" t="s">
        <v>38</v>
      </c>
      <c r="B124" s="1">
        <v>1204</v>
      </c>
      <c r="C124" s="1" t="s">
        <v>8</v>
      </c>
      <c r="D124" s="2">
        <v>42377</v>
      </c>
      <c r="E124" s="1" t="b">
        <v>0</v>
      </c>
    </row>
    <row r="125" spans="1:5" x14ac:dyDescent="0.25">
      <c r="A125" s="1" t="s">
        <v>39</v>
      </c>
      <c r="B125" s="1">
        <v>1236</v>
      </c>
      <c r="C125" s="1" t="s">
        <v>105</v>
      </c>
      <c r="D125" s="2">
        <v>42620</v>
      </c>
      <c r="E125" s="1" t="b">
        <v>0</v>
      </c>
    </row>
    <row r="126" spans="1:5" x14ac:dyDescent="0.25">
      <c r="A126" s="1" t="s">
        <v>40</v>
      </c>
      <c r="B126" s="1">
        <v>1237</v>
      </c>
      <c r="C126" s="1" t="s">
        <v>25</v>
      </c>
      <c r="D126" s="2">
        <v>42434</v>
      </c>
      <c r="E126" s="1" t="b">
        <v>1</v>
      </c>
    </row>
    <row r="127" spans="1:5" x14ac:dyDescent="0.25">
      <c r="A127" s="1" t="s">
        <v>41</v>
      </c>
      <c r="B127" s="1">
        <v>1096</v>
      </c>
      <c r="C127" s="1" t="s">
        <v>29</v>
      </c>
      <c r="D127" s="2">
        <v>42538</v>
      </c>
      <c r="E127" s="1" t="b">
        <v>1</v>
      </c>
    </row>
    <row r="128" spans="1:5" x14ac:dyDescent="0.25">
      <c r="A128" s="1" t="s">
        <v>42</v>
      </c>
      <c r="B128" s="1">
        <v>1097</v>
      </c>
      <c r="C128" s="1" t="s">
        <v>25</v>
      </c>
      <c r="D128" s="2">
        <v>42594</v>
      </c>
      <c r="E128" s="1" t="b">
        <v>1</v>
      </c>
    </row>
    <row r="129" spans="1:5" x14ac:dyDescent="0.25">
      <c r="A129" s="1" t="s">
        <v>43</v>
      </c>
      <c r="B129" s="1">
        <v>1725</v>
      </c>
      <c r="C129" s="1" t="s">
        <v>29</v>
      </c>
      <c r="D129" s="2">
        <v>42409</v>
      </c>
      <c r="E129" s="1" t="b">
        <v>0</v>
      </c>
    </row>
    <row r="130" spans="1:5" x14ac:dyDescent="0.25">
      <c r="A130" s="1" t="s">
        <v>44</v>
      </c>
      <c r="B130" s="1">
        <v>1456</v>
      </c>
      <c r="C130" s="1" t="s">
        <v>67</v>
      </c>
      <c r="D130" s="2">
        <v>42651</v>
      </c>
      <c r="E130" s="1" t="b">
        <v>1</v>
      </c>
    </row>
    <row r="131" spans="1:5" x14ac:dyDescent="0.25">
      <c r="A131" s="1" t="s">
        <v>45</v>
      </c>
      <c r="B131" s="1">
        <v>681</v>
      </c>
      <c r="C131" s="1" t="s">
        <v>9</v>
      </c>
      <c r="D131" s="2">
        <v>42465</v>
      </c>
      <c r="E131" s="1" t="b">
        <v>0</v>
      </c>
    </row>
    <row r="132" spans="1:5" x14ac:dyDescent="0.25">
      <c r="A132" s="1" t="s">
        <v>46</v>
      </c>
      <c r="B132" s="1">
        <v>233</v>
      </c>
      <c r="C132" s="1" t="s">
        <v>67</v>
      </c>
      <c r="D132" s="2">
        <v>42418</v>
      </c>
      <c r="E132" s="1" t="b">
        <v>1</v>
      </c>
    </row>
    <row r="133" spans="1:5" x14ac:dyDescent="0.25">
      <c r="A133" s="1" t="s">
        <v>47</v>
      </c>
      <c r="B133" s="1">
        <v>929</v>
      </c>
      <c r="C133" s="1" t="s">
        <v>67</v>
      </c>
      <c r="D133" s="2">
        <v>42522</v>
      </c>
      <c r="E133" s="1" t="b">
        <v>1</v>
      </c>
    </row>
    <row r="134" spans="1:5" x14ac:dyDescent="0.25">
      <c r="A134" s="1" t="s">
        <v>48</v>
      </c>
      <c r="B134" s="1">
        <v>1705</v>
      </c>
      <c r="C134" s="1" t="s">
        <v>9</v>
      </c>
      <c r="D134" s="2">
        <v>42626</v>
      </c>
      <c r="E134" s="1" t="b">
        <v>0</v>
      </c>
    </row>
    <row r="135" spans="1:5" x14ac:dyDescent="0.25">
      <c r="A135" s="1" t="s">
        <v>49</v>
      </c>
      <c r="B135" s="1">
        <v>334</v>
      </c>
      <c r="C135" s="1" t="s">
        <v>25</v>
      </c>
      <c r="D135" s="2">
        <v>42578</v>
      </c>
      <c r="E135" s="1" t="b">
        <v>1</v>
      </c>
    </row>
    <row r="136" spans="1:5" x14ac:dyDescent="0.25">
      <c r="A136" s="1" t="s">
        <v>50</v>
      </c>
      <c r="B136" s="1">
        <v>1289</v>
      </c>
      <c r="C136" s="1" t="s">
        <v>116</v>
      </c>
      <c r="D136" s="2">
        <v>42392</v>
      </c>
      <c r="E136" s="1" t="b">
        <v>1</v>
      </c>
    </row>
    <row r="137" spans="1:5" x14ac:dyDescent="0.25">
      <c r="A137" s="1" t="s">
        <v>51</v>
      </c>
      <c r="B137" s="1">
        <v>1469</v>
      </c>
      <c r="C137" s="1" t="s">
        <v>105</v>
      </c>
      <c r="D137" s="2">
        <v>42496</v>
      </c>
      <c r="E137" s="1" t="b">
        <v>0</v>
      </c>
    </row>
    <row r="138" spans="1:5" x14ac:dyDescent="0.25">
      <c r="A138" s="1" t="s">
        <v>52</v>
      </c>
      <c r="B138" s="1">
        <v>246</v>
      </c>
      <c r="C138" s="1" t="s">
        <v>14</v>
      </c>
      <c r="D138" s="2">
        <v>42449</v>
      </c>
      <c r="E138" s="1" t="b">
        <v>1</v>
      </c>
    </row>
    <row r="139" spans="1:5" x14ac:dyDescent="0.25">
      <c r="A139" s="1" t="s">
        <v>53</v>
      </c>
      <c r="B139" s="1">
        <v>1366</v>
      </c>
      <c r="C139" s="1" t="s">
        <v>25</v>
      </c>
      <c r="D139" s="2">
        <v>42553</v>
      </c>
      <c r="E139" s="1" t="b">
        <v>1</v>
      </c>
    </row>
    <row r="140" spans="1:5" x14ac:dyDescent="0.25">
      <c r="A140" s="1" t="s">
        <v>54</v>
      </c>
      <c r="B140" s="1">
        <v>918</v>
      </c>
      <c r="C140" s="1" t="s">
        <v>8</v>
      </c>
      <c r="D140" s="2">
        <v>42610</v>
      </c>
      <c r="E140" s="1" t="b">
        <v>0</v>
      </c>
    </row>
    <row r="141" spans="1:5" x14ac:dyDescent="0.25">
      <c r="A141" s="1" t="s">
        <v>55</v>
      </c>
      <c r="B141" s="1">
        <v>143</v>
      </c>
      <c r="C141" s="1" t="s">
        <v>25</v>
      </c>
      <c r="D141" s="2">
        <v>42424</v>
      </c>
      <c r="E141" s="1" t="b">
        <v>1</v>
      </c>
    </row>
    <row r="142" spans="1:5" x14ac:dyDescent="0.25">
      <c r="A142" s="1" t="s">
        <v>56</v>
      </c>
      <c r="B142" s="1">
        <v>1098</v>
      </c>
      <c r="C142" s="1" t="s">
        <v>6</v>
      </c>
      <c r="D142" s="2">
        <v>42376</v>
      </c>
      <c r="E142" s="1" t="b">
        <v>1</v>
      </c>
    </row>
    <row r="143" spans="1:5" x14ac:dyDescent="0.25">
      <c r="A143" s="1" t="s">
        <v>57</v>
      </c>
      <c r="B143" s="1">
        <v>1726</v>
      </c>
      <c r="C143" s="1" t="s">
        <v>105</v>
      </c>
      <c r="D143" s="2">
        <v>42480</v>
      </c>
      <c r="E143" s="1" t="b">
        <v>0</v>
      </c>
    </row>
    <row r="144" spans="1:5" x14ac:dyDescent="0.25">
      <c r="A144" s="1" t="s">
        <v>58</v>
      </c>
      <c r="B144" s="1">
        <v>1130</v>
      </c>
      <c r="C144" s="1" t="s">
        <v>67</v>
      </c>
      <c r="D144" s="2">
        <v>42584</v>
      </c>
      <c r="E144" s="1" t="b">
        <v>1</v>
      </c>
    </row>
    <row r="145" spans="1:5" x14ac:dyDescent="0.25">
      <c r="A145" s="1" t="s">
        <v>59</v>
      </c>
      <c r="B145" s="1">
        <v>1628</v>
      </c>
      <c r="C145" s="1" t="s">
        <v>8</v>
      </c>
      <c r="D145" s="2">
        <v>42537</v>
      </c>
      <c r="E145" s="1" t="b">
        <v>0</v>
      </c>
    </row>
    <row r="146" spans="1:5" x14ac:dyDescent="0.25">
      <c r="A146" s="1" t="s">
        <v>60</v>
      </c>
      <c r="B146" s="1">
        <v>853</v>
      </c>
      <c r="C146" s="1" t="s">
        <v>25</v>
      </c>
      <c r="D146" s="2">
        <v>42641</v>
      </c>
      <c r="E146" s="1" t="b">
        <v>1</v>
      </c>
    </row>
    <row r="147" spans="1:5" x14ac:dyDescent="0.25">
      <c r="A147" s="1" t="s">
        <v>61</v>
      </c>
      <c r="B147" s="1">
        <v>1033</v>
      </c>
      <c r="C147" s="1" t="s">
        <v>29</v>
      </c>
      <c r="D147" s="2">
        <v>42594</v>
      </c>
      <c r="E147" s="1" t="b">
        <v>0</v>
      </c>
    </row>
    <row r="148" spans="1:5" x14ac:dyDescent="0.25">
      <c r="A148" s="1" t="s">
        <v>62</v>
      </c>
      <c r="B148" s="1">
        <v>1840</v>
      </c>
      <c r="C148" s="1" t="s">
        <v>25</v>
      </c>
      <c r="D148" s="2">
        <v>42408</v>
      </c>
      <c r="E148" s="1" t="b">
        <v>1</v>
      </c>
    </row>
    <row r="149" spans="1:5" x14ac:dyDescent="0.25">
      <c r="A149" s="1" t="s">
        <v>63</v>
      </c>
      <c r="B149" s="1">
        <v>770</v>
      </c>
      <c r="C149" s="1" t="s">
        <v>14</v>
      </c>
      <c r="D149" s="2">
        <v>42512</v>
      </c>
      <c r="E149" s="1" t="b">
        <v>1</v>
      </c>
    </row>
    <row r="150" spans="1:5" x14ac:dyDescent="0.25">
      <c r="A150" s="1" t="s">
        <v>64</v>
      </c>
      <c r="B150" s="1">
        <v>322</v>
      </c>
      <c r="C150" s="1" t="s">
        <v>116</v>
      </c>
      <c r="D150" s="2">
        <v>42464</v>
      </c>
      <c r="E150" s="1" t="b">
        <v>1</v>
      </c>
    </row>
    <row r="151" spans="1:5" x14ac:dyDescent="0.25">
      <c r="A151" s="1" t="s">
        <v>65</v>
      </c>
      <c r="B151" s="1">
        <v>994</v>
      </c>
      <c r="C151" s="1" t="s">
        <v>67</v>
      </c>
      <c r="D151" s="2">
        <v>42568</v>
      </c>
      <c r="E151" s="1" t="b">
        <v>1</v>
      </c>
    </row>
    <row r="152" spans="1:5" x14ac:dyDescent="0.25">
      <c r="A152" s="1" t="s">
        <v>66</v>
      </c>
      <c r="B152" s="1">
        <v>994</v>
      </c>
      <c r="C152" s="1" t="s">
        <v>117</v>
      </c>
      <c r="D152" s="2">
        <v>42625</v>
      </c>
      <c r="E152" s="1" t="b">
        <v>0</v>
      </c>
    </row>
    <row r="153" spans="1:5" x14ac:dyDescent="0.25">
      <c r="A153" s="1" t="s">
        <v>10</v>
      </c>
      <c r="B153" s="1">
        <v>257</v>
      </c>
      <c r="C153" s="1" t="s">
        <v>116</v>
      </c>
      <c r="D153" s="2">
        <v>42632</v>
      </c>
      <c r="E153" s="1" t="b">
        <v>1</v>
      </c>
    </row>
    <row r="154" spans="1:5" x14ac:dyDescent="0.25">
      <c r="A154" s="1" t="s">
        <v>12</v>
      </c>
      <c r="B154" s="1">
        <v>50</v>
      </c>
      <c r="C154" s="1" t="s">
        <v>67</v>
      </c>
      <c r="D154" s="2">
        <v>42584</v>
      </c>
      <c r="E154" s="1" t="b">
        <v>1</v>
      </c>
    </row>
    <row r="155" spans="1:5" x14ac:dyDescent="0.25">
      <c r="A155" s="1" t="s">
        <v>13</v>
      </c>
      <c r="B155" s="1">
        <v>752</v>
      </c>
      <c r="C155" s="1" t="s">
        <v>117</v>
      </c>
      <c r="D155" s="2">
        <v>42584</v>
      </c>
      <c r="E155" s="1" t="b">
        <v>0</v>
      </c>
    </row>
    <row r="156" spans="1:5" x14ac:dyDescent="0.25">
      <c r="A156" s="1" t="s">
        <v>15</v>
      </c>
      <c r="B156" s="1">
        <v>625</v>
      </c>
      <c r="C156" s="1" t="s">
        <v>105</v>
      </c>
      <c r="D156" s="2">
        <v>42584</v>
      </c>
      <c r="E156" s="1" t="b">
        <v>0</v>
      </c>
    </row>
    <row r="157" spans="1:5" x14ac:dyDescent="0.25">
      <c r="A157" s="1" t="s">
        <v>16</v>
      </c>
      <c r="B157" s="1">
        <v>1557</v>
      </c>
      <c r="C157" s="1" t="s">
        <v>25</v>
      </c>
      <c r="D157" s="2">
        <v>42584</v>
      </c>
      <c r="E157" s="1" t="b">
        <v>1</v>
      </c>
    </row>
    <row r="158" spans="1:5" x14ac:dyDescent="0.25">
      <c r="A158" s="1" t="s">
        <v>17</v>
      </c>
      <c r="B158" s="1">
        <v>212</v>
      </c>
      <c r="C158" s="1" t="s">
        <v>116</v>
      </c>
      <c r="D158" s="2">
        <v>42584</v>
      </c>
      <c r="E158" s="1" t="b">
        <v>1</v>
      </c>
    </row>
    <row r="159" spans="1:5" x14ac:dyDescent="0.25">
      <c r="A159" s="1" t="s">
        <v>19</v>
      </c>
      <c r="B159" s="1">
        <v>984</v>
      </c>
      <c r="C159" s="1" t="s">
        <v>105</v>
      </c>
      <c r="D159" s="2">
        <v>42584</v>
      </c>
      <c r="E159" s="1" t="b">
        <v>0</v>
      </c>
    </row>
    <row r="160" spans="1:5" x14ac:dyDescent="0.25">
      <c r="A160" s="1" t="s">
        <v>20</v>
      </c>
      <c r="B160" s="1">
        <v>1094</v>
      </c>
      <c r="C160" s="1" t="s">
        <v>67</v>
      </c>
      <c r="D160" s="2">
        <v>42584</v>
      </c>
      <c r="E160" s="1" t="b">
        <v>1</v>
      </c>
    </row>
    <row r="161" spans="1:5" x14ac:dyDescent="0.25">
      <c r="A161" s="1" t="s">
        <v>21</v>
      </c>
      <c r="B161" s="1">
        <v>426</v>
      </c>
      <c r="C161" s="1" t="s">
        <v>117</v>
      </c>
      <c r="D161" s="2">
        <v>42396</v>
      </c>
      <c r="E161" s="1" t="b">
        <v>0</v>
      </c>
    </row>
    <row r="162" spans="1:5" x14ac:dyDescent="0.25">
      <c r="A162" s="1" t="s">
        <v>22</v>
      </c>
      <c r="B162" s="1">
        <v>57</v>
      </c>
      <c r="C162" s="1" t="s">
        <v>25</v>
      </c>
      <c r="D162" s="2">
        <v>42396</v>
      </c>
      <c r="E162" s="1" t="b">
        <v>1</v>
      </c>
    </row>
    <row r="163" spans="1:5" x14ac:dyDescent="0.25">
      <c r="A163" s="1" t="s">
        <v>23</v>
      </c>
      <c r="B163" s="1">
        <v>1282</v>
      </c>
      <c r="C163" s="1" t="s">
        <v>8</v>
      </c>
      <c r="D163" s="2">
        <v>42396</v>
      </c>
      <c r="E163" s="1" t="b">
        <v>0</v>
      </c>
    </row>
    <row r="164" spans="1:5" x14ac:dyDescent="0.25">
      <c r="A164" s="1" t="s">
        <v>24</v>
      </c>
      <c r="B164" s="1">
        <v>365</v>
      </c>
      <c r="C164" s="1" t="s">
        <v>67</v>
      </c>
      <c r="D164" s="2">
        <v>42396</v>
      </c>
      <c r="E164" s="1" t="b">
        <v>1</v>
      </c>
    </row>
    <row r="165" spans="1:5" x14ac:dyDescent="0.25">
      <c r="A165" s="1" t="s">
        <v>26</v>
      </c>
      <c r="B165" s="1">
        <v>1917</v>
      </c>
      <c r="C165" s="1" t="s">
        <v>8</v>
      </c>
      <c r="D165" s="2">
        <v>42396</v>
      </c>
      <c r="E165" s="1" t="b">
        <v>0</v>
      </c>
    </row>
    <row r="166" spans="1:5" x14ac:dyDescent="0.25">
      <c r="A166" s="1" t="s">
        <v>27</v>
      </c>
      <c r="B166" s="1">
        <v>1341</v>
      </c>
      <c r="C166" s="1" t="s">
        <v>117</v>
      </c>
      <c r="D166" s="2">
        <v>42396</v>
      </c>
      <c r="E166" s="1" t="b">
        <v>0</v>
      </c>
    </row>
    <row r="167" spans="1:5" x14ac:dyDescent="0.25">
      <c r="A167" s="1" t="s">
        <v>28</v>
      </c>
      <c r="B167" s="1">
        <v>859</v>
      </c>
      <c r="C167" s="1" t="s">
        <v>105</v>
      </c>
      <c r="D167" s="2">
        <v>42396</v>
      </c>
      <c r="E167" s="1" t="b">
        <v>0</v>
      </c>
    </row>
    <row r="168" spans="1:5" x14ac:dyDescent="0.25">
      <c r="A168" s="1" t="s">
        <v>30</v>
      </c>
      <c r="B168" s="1">
        <v>1777</v>
      </c>
      <c r="C168" s="1" t="s">
        <v>6</v>
      </c>
      <c r="D168" s="2">
        <v>42641</v>
      </c>
      <c r="E168" s="1" t="b">
        <v>1</v>
      </c>
    </row>
    <row r="169" spans="1:5" x14ac:dyDescent="0.25">
      <c r="A169" s="1" t="s">
        <v>32</v>
      </c>
      <c r="B169" s="1">
        <v>818</v>
      </c>
      <c r="C169" s="1" t="s">
        <v>8</v>
      </c>
      <c r="D169" s="2">
        <v>42641</v>
      </c>
      <c r="E169" s="1" t="b">
        <v>0</v>
      </c>
    </row>
    <row r="170" spans="1:5" x14ac:dyDescent="0.25">
      <c r="A170" s="1" t="s">
        <v>33</v>
      </c>
      <c r="B170" s="1">
        <v>751</v>
      </c>
      <c r="C170" s="1" t="s">
        <v>67</v>
      </c>
      <c r="D170" s="2">
        <v>42641</v>
      </c>
      <c r="E170" s="1" t="b">
        <v>1</v>
      </c>
    </row>
    <row r="171" spans="1:5" x14ac:dyDescent="0.25">
      <c r="A171" s="1" t="s">
        <v>35</v>
      </c>
      <c r="B171" s="1">
        <v>770</v>
      </c>
      <c r="C171" s="1" t="s">
        <v>67</v>
      </c>
      <c r="D171" s="2">
        <v>42641</v>
      </c>
      <c r="E171" s="1" t="b">
        <v>1</v>
      </c>
    </row>
    <row r="172" spans="1:5" x14ac:dyDescent="0.25">
      <c r="A172" s="1" t="s">
        <v>36</v>
      </c>
      <c r="B172" s="1">
        <v>180</v>
      </c>
      <c r="C172" s="1" t="s">
        <v>67</v>
      </c>
      <c r="D172" s="2">
        <v>42641</v>
      </c>
      <c r="E172" s="1" t="b">
        <v>1</v>
      </c>
    </row>
    <row r="173" spans="1:5" x14ac:dyDescent="0.25">
      <c r="A173" s="1" t="s">
        <v>37</v>
      </c>
      <c r="B173" s="1">
        <v>343</v>
      </c>
      <c r="C173" s="1" t="s">
        <v>9</v>
      </c>
      <c r="D173" s="2">
        <v>42641</v>
      </c>
      <c r="E173" s="1" t="b">
        <v>0</v>
      </c>
    </row>
    <row r="174" spans="1:5" x14ac:dyDescent="0.25">
      <c r="A174" s="1" t="s">
        <v>38</v>
      </c>
      <c r="B174" s="1">
        <v>1782</v>
      </c>
      <c r="C174" s="1" t="s">
        <v>105</v>
      </c>
      <c r="D174" s="2">
        <v>42641</v>
      </c>
      <c r="E174" s="1" t="b">
        <v>0</v>
      </c>
    </row>
    <row r="175" spans="1:5" x14ac:dyDescent="0.25">
      <c r="A175" s="1" t="s">
        <v>39</v>
      </c>
      <c r="B175" s="1">
        <v>855</v>
      </c>
      <c r="C175" s="1" t="s">
        <v>116</v>
      </c>
      <c r="D175" s="2">
        <v>42453</v>
      </c>
      <c r="E175" s="1" t="b">
        <v>1</v>
      </c>
    </row>
    <row r="176" spans="1:5" x14ac:dyDescent="0.25">
      <c r="A176" s="1" t="s">
        <v>40</v>
      </c>
      <c r="B176" s="1">
        <v>672</v>
      </c>
      <c r="C176" s="1" t="s">
        <v>6</v>
      </c>
      <c r="D176" s="2">
        <v>42453</v>
      </c>
      <c r="E176" s="1" t="b">
        <v>1</v>
      </c>
    </row>
    <row r="177" spans="1:5" x14ac:dyDescent="0.25">
      <c r="A177" s="1" t="s">
        <v>41</v>
      </c>
      <c r="B177" s="1">
        <v>1521</v>
      </c>
      <c r="C177" s="1" t="s">
        <v>29</v>
      </c>
      <c r="D177" s="2">
        <v>42453</v>
      </c>
      <c r="E177" s="1" t="b">
        <v>1</v>
      </c>
    </row>
    <row r="178" spans="1:5" x14ac:dyDescent="0.25">
      <c r="A178" s="1" t="s">
        <v>42</v>
      </c>
      <c r="B178" s="1">
        <v>415</v>
      </c>
      <c r="C178" s="1" t="s">
        <v>29</v>
      </c>
      <c r="D178" s="2">
        <v>42453</v>
      </c>
      <c r="E178" s="1" t="b">
        <v>1</v>
      </c>
    </row>
    <row r="179" spans="1:5" x14ac:dyDescent="0.25">
      <c r="A179" s="1" t="s">
        <v>43</v>
      </c>
      <c r="B179" s="1">
        <v>594</v>
      </c>
      <c r="C179" s="1" t="s">
        <v>8</v>
      </c>
      <c r="D179" s="2">
        <v>42453</v>
      </c>
      <c r="E179" s="1" t="b">
        <v>0</v>
      </c>
    </row>
    <row r="180" spans="1:5" x14ac:dyDescent="0.25">
      <c r="A180" s="1" t="s">
        <v>44</v>
      </c>
      <c r="B180" s="1">
        <v>263</v>
      </c>
      <c r="C180" s="1" t="s">
        <v>6</v>
      </c>
      <c r="D180" s="2">
        <v>42453</v>
      </c>
      <c r="E180" s="1" t="b">
        <v>1</v>
      </c>
    </row>
    <row r="181" spans="1:5" x14ac:dyDescent="0.25">
      <c r="A181" s="1" t="s">
        <v>45</v>
      </c>
      <c r="B181" s="1">
        <v>790</v>
      </c>
      <c r="C181" s="1" t="s">
        <v>105</v>
      </c>
      <c r="D181" s="2">
        <v>42453</v>
      </c>
      <c r="E181" s="1" t="b">
        <v>0</v>
      </c>
    </row>
    <row r="182" spans="1:5" x14ac:dyDescent="0.25">
      <c r="A182" s="1" t="s">
        <v>46</v>
      </c>
      <c r="B182" s="1">
        <v>34</v>
      </c>
      <c r="C182" s="1" t="s">
        <v>14</v>
      </c>
      <c r="D182" s="2">
        <v>42558</v>
      </c>
      <c r="E182" s="1" t="b">
        <v>1</v>
      </c>
    </row>
    <row r="183" spans="1:5" x14ac:dyDescent="0.25">
      <c r="A183" s="1" t="s">
        <v>47</v>
      </c>
      <c r="B183" s="1">
        <v>1739</v>
      </c>
      <c r="C183" s="1" t="s">
        <v>6</v>
      </c>
      <c r="D183" s="2">
        <v>42558</v>
      </c>
      <c r="E183" s="1" t="b">
        <v>1</v>
      </c>
    </row>
    <row r="184" spans="1:5" x14ac:dyDescent="0.25">
      <c r="A184" s="1" t="s">
        <v>48</v>
      </c>
      <c r="B184" s="1">
        <v>110</v>
      </c>
      <c r="C184" s="1" t="s">
        <v>29</v>
      </c>
      <c r="D184" s="2">
        <v>42558</v>
      </c>
      <c r="E184" s="1" t="b">
        <v>0</v>
      </c>
    </row>
    <row r="185" spans="1:5" x14ac:dyDescent="0.25">
      <c r="A185" s="1" t="s">
        <v>49</v>
      </c>
      <c r="B185" s="1">
        <v>1528</v>
      </c>
      <c r="C185" s="1" t="s">
        <v>14</v>
      </c>
      <c r="D185" s="2">
        <v>42558</v>
      </c>
      <c r="E185" s="1" t="b">
        <v>1</v>
      </c>
    </row>
    <row r="186" spans="1:5" x14ac:dyDescent="0.25">
      <c r="A186" s="1" t="s">
        <v>50</v>
      </c>
      <c r="B186" s="1">
        <v>324</v>
      </c>
      <c r="C186" s="1" t="s">
        <v>105</v>
      </c>
      <c r="D186" s="2">
        <v>42558</v>
      </c>
      <c r="E186" s="1" t="b">
        <v>0</v>
      </c>
    </row>
    <row r="187" spans="1:5" x14ac:dyDescent="0.25">
      <c r="A187" s="1" t="s">
        <v>51</v>
      </c>
      <c r="B187" s="1">
        <v>1710</v>
      </c>
      <c r="C187" s="1" t="s">
        <v>29</v>
      </c>
      <c r="D187" s="2">
        <v>42558</v>
      </c>
      <c r="E187" s="1" t="b">
        <v>1</v>
      </c>
    </row>
    <row r="188" spans="1:5" x14ac:dyDescent="0.25">
      <c r="A188" s="1" t="s">
        <v>52</v>
      </c>
      <c r="B188" s="1">
        <v>1816</v>
      </c>
      <c r="C188" s="1" t="s">
        <v>117</v>
      </c>
      <c r="D188" s="2">
        <v>42558</v>
      </c>
      <c r="E188" s="1" t="b">
        <v>0</v>
      </c>
    </row>
    <row r="189" spans="1:5" x14ac:dyDescent="0.25">
      <c r="A189" s="1" t="s">
        <v>53</v>
      </c>
      <c r="B189" s="1">
        <v>1327</v>
      </c>
      <c r="C189" s="1" t="s">
        <v>6</v>
      </c>
      <c r="D189" s="2">
        <v>42510</v>
      </c>
      <c r="E189" s="1" t="b">
        <v>1</v>
      </c>
    </row>
    <row r="190" spans="1:5" x14ac:dyDescent="0.25">
      <c r="A190" s="1" t="s">
        <v>54</v>
      </c>
      <c r="B190" s="1">
        <v>1666</v>
      </c>
      <c r="C190" s="1" t="s">
        <v>14</v>
      </c>
      <c r="D190" s="2">
        <v>42510</v>
      </c>
      <c r="E190" s="1" t="b">
        <v>1</v>
      </c>
    </row>
    <row r="191" spans="1:5" x14ac:dyDescent="0.25">
      <c r="A191" s="1" t="s">
        <v>55</v>
      </c>
      <c r="B191" s="1">
        <v>1107</v>
      </c>
      <c r="C191" s="1" t="s">
        <v>14</v>
      </c>
      <c r="D191" s="2">
        <v>42510</v>
      </c>
      <c r="E191" s="1" t="b">
        <v>1</v>
      </c>
    </row>
    <row r="192" spans="1:5" x14ac:dyDescent="0.25">
      <c r="A192" s="1" t="s">
        <v>56</v>
      </c>
      <c r="B192" s="1">
        <v>1625</v>
      </c>
      <c r="C192" s="1" t="s">
        <v>25</v>
      </c>
      <c r="D192" s="2">
        <v>42510</v>
      </c>
      <c r="E192" s="1" t="b">
        <v>1</v>
      </c>
    </row>
    <row r="193" spans="1:5" x14ac:dyDescent="0.25">
      <c r="A193" s="1" t="s">
        <v>57</v>
      </c>
      <c r="B193" s="1">
        <v>1367</v>
      </c>
      <c r="C193" s="1" t="s">
        <v>8</v>
      </c>
      <c r="D193" s="2">
        <v>42510</v>
      </c>
      <c r="E193" s="1" t="b">
        <v>0</v>
      </c>
    </row>
    <row r="194" spans="1:5" x14ac:dyDescent="0.25">
      <c r="A194" s="1" t="s">
        <v>58</v>
      </c>
      <c r="B194" s="1">
        <v>1523</v>
      </c>
      <c r="C194" s="1" t="s">
        <v>29</v>
      </c>
      <c r="D194" s="2">
        <v>42510</v>
      </c>
      <c r="E194" s="1" t="b">
        <v>0</v>
      </c>
    </row>
    <row r="195" spans="1:5" x14ac:dyDescent="0.25">
      <c r="A195" s="1" t="s">
        <v>59</v>
      </c>
      <c r="B195" s="1">
        <v>1390</v>
      </c>
      <c r="C195" s="1" t="s">
        <v>14</v>
      </c>
      <c r="D195" s="2">
        <v>42510</v>
      </c>
      <c r="E195" s="1" t="b">
        <v>1</v>
      </c>
    </row>
    <row r="196" spans="1:5" x14ac:dyDescent="0.25">
      <c r="A196" s="1" t="s">
        <v>60</v>
      </c>
      <c r="B196" s="1">
        <v>961</v>
      </c>
      <c r="C196" s="1" t="s">
        <v>29</v>
      </c>
      <c r="D196" s="2">
        <v>42616</v>
      </c>
      <c r="E196" s="1" t="b">
        <v>0</v>
      </c>
    </row>
    <row r="197" spans="1:5" x14ac:dyDescent="0.25">
      <c r="A197" s="1" t="s">
        <v>61</v>
      </c>
      <c r="B197" s="1">
        <v>17</v>
      </c>
      <c r="C197" s="1" t="s">
        <v>25</v>
      </c>
      <c r="D197" s="2">
        <v>42616</v>
      </c>
      <c r="E197" s="1" t="b">
        <v>1</v>
      </c>
    </row>
    <row r="198" spans="1:5" x14ac:dyDescent="0.25">
      <c r="A198" s="1" t="s">
        <v>62</v>
      </c>
      <c r="B198" s="1">
        <v>1255</v>
      </c>
      <c r="C198" s="1" t="s">
        <v>117</v>
      </c>
      <c r="D198" s="2">
        <v>42616</v>
      </c>
      <c r="E198" s="1" t="b">
        <v>0</v>
      </c>
    </row>
    <row r="199" spans="1:5" x14ac:dyDescent="0.25">
      <c r="A199" s="1" t="s">
        <v>63</v>
      </c>
      <c r="B199" s="1">
        <v>495</v>
      </c>
      <c r="C199" s="1" t="s">
        <v>29</v>
      </c>
      <c r="D199" s="2">
        <v>42616</v>
      </c>
      <c r="E199" s="1" t="b">
        <v>1</v>
      </c>
    </row>
    <row r="200" spans="1:5" x14ac:dyDescent="0.25">
      <c r="A200" s="1" t="s">
        <v>64</v>
      </c>
      <c r="B200" s="1">
        <v>958</v>
      </c>
      <c r="C200" s="1" t="s">
        <v>9</v>
      </c>
      <c r="D200" s="2">
        <v>42616</v>
      </c>
      <c r="E200" s="1" t="b">
        <v>0</v>
      </c>
    </row>
    <row r="201" spans="1:5" x14ac:dyDescent="0.25">
      <c r="A201" s="1" t="s">
        <v>65</v>
      </c>
      <c r="B201" s="1">
        <v>1748</v>
      </c>
      <c r="C201" s="1" t="s">
        <v>14</v>
      </c>
      <c r="D201" s="2">
        <v>42616</v>
      </c>
      <c r="E201" s="1" t="b">
        <v>1</v>
      </c>
    </row>
    <row r="202" spans="1:5" x14ac:dyDescent="0.25">
      <c r="A202" s="1" t="s">
        <v>66</v>
      </c>
      <c r="B202" s="1">
        <v>1061</v>
      </c>
      <c r="C202" s="1" t="s">
        <v>9</v>
      </c>
      <c r="D202" s="2">
        <v>42428</v>
      </c>
      <c r="E202" s="1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7"/>
  <sheetViews>
    <sheetView workbookViewId="0">
      <selection activeCell="B2" sqref="A1:B2"/>
    </sheetView>
  </sheetViews>
  <sheetFormatPr defaultRowHeight="15" x14ac:dyDescent="0.25"/>
  <cols>
    <col min="1" max="1" width="12.875" bestFit="1" customWidth="1"/>
    <col min="2" max="2" width="14.125" bestFit="1" customWidth="1"/>
    <col min="3" max="8" width="4.875" bestFit="1" customWidth="1"/>
    <col min="9" max="9" width="9.5" bestFit="1" customWidth="1"/>
  </cols>
  <sheetData>
    <row r="1" spans="1:9" x14ac:dyDescent="0.25">
      <c r="A1" s="43" t="s">
        <v>4</v>
      </c>
      <c r="B1" t="s">
        <v>7</v>
      </c>
    </row>
    <row r="3" spans="1:9" x14ac:dyDescent="0.25">
      <c r="A3" s="43" t="s">
        <v>96</v>
      </c>
      <c r="B3" s="43" t="s">
        <v>107</v>
      </c>
    </row>
    <row r="4" spans="1:9" x14ac:dyDescent="0.25">
      <c r="A4" s="43" t="s">
        <v>108</v>
      </c>
      <c r="B4" t="s">
        <v>97</v>
      </c>
      <c r="C4" t="s">
        <v>98</v>
      </c>
      <c r="D4" t="s">
        <v>99</v>
      </c>
      <c r="E4" t="s">
        <v>100</v>
      </c>
      <c r="F4" t="s">
        <v>101</v>
      </c>
      <c r="G4" t="s">
        <v>102</v>
      </c>
      <c r="H4" t="s">
        <v>103</v>
      </c>
      <c r="I4" t="s">
        <v>109</v>
      </c>
    </row>
    <row r="5" spans="1:9" x14ac:dyDescent="0.25">
      <c r="A5" s="44" t="s">
        <v>104</v>
      </c>
      <c r="B5" s="1">
        <v>2536</v>
      </c>
      <c r="C5" s="1">
        <v>705</v>
      </c>
      <c r="D5" s="1"/>
      <c r="E5" s="1">
        <v>906</v>
      </c>
      <c r="F5" s="1">
        <v>357</v>
      </c>
      <c r="G5" s="1"/>
      <c r="H5" s="1">
        <v>1674</v>
      </c>
      <c r="I5" s="1">
        <v>6178</v>
      </c>
    </row>
    <row r="6" spans="1:9" x14ac:dyDescent="0.25">
      <c r="A6" s="44" t="s">
        <v>106</v>
      </c>
      <c r="B6" s="1">
        <v>3080</v>
      </c>
      <c r="C6" s="1">
        <v>3298</v>
      </c>
      <c r="D6" s="1">
        <v>3996</v>
      </c>
      <c r="E6" s="1">
        <v>2980</v>
      </c>
      <c r="F6" s="1">
        <v>2949</v>
      </c>
      <c r="G6" s="1">
        <v>1585</v>
      </c>
      <c r="H6" s="1">
        <v>235</v>
      </c>
      <c r="I6" s="1">
        <v>18123</v>
      </c>
    </row>
    <row r="7" spans="1:9" x14ac:dyDescent="0.25">
      <c r="A7" s="44" t="s">
        <v>109</v>
      </c>
      <c r="B7" s="1">
        <v>5616</v>
      </c>
      <c r="C7" s="1">
        <v>4003</v>
      </c>
      <c r="D7" s="1">
        <v>3996</v>
      </c>
      <c r="E7" s="1">
        <v>3886</v>
      </c>
      <c r="F7" s="1">
        <v>3306</v>
      </c>
      <c r="G7" s="1">
        <v>1585</v>
      </c>
      <c r="H7" s="1">
        <v>1909</v>
      </c>
      <c r="I7" s="1">
        <v>24301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7"/>
  <sheetViews>
    <sheetView workbookViewId="0">
      <selection activeCell="H5" sqref="H5"/>
    </sheetView>
  </sheetViews>
  <sheetFormatPr defaultRowHeight="15" x14ac:dyDescent="0.25"/>
  <cols>
    <col min="1" max="1" width="12.875" bestFit="1" customWidth="1"/>
    <col min="2" max="2" width="14.125" bestFit="1" customWidth="1"/>
    <col min="3" max="8" width="4.875" bestFit="1" customWidth="1"/>
    <col min="9" max="9" width="9.5" bestFit="1" customWidth="1"/>
  </cols>
  <sheetData>
    <row r="1" spans="1:9" x14ac:dyDescent="0.25">
      <c r="A1" s="43" t="s">
        <v>4</v>
      </c>
      <c r="B1" t="s">
        <v>5</v>
      </c>
    </row>
    <row r="3" spans="1:9" x14ac:dyDescent="0.25">
      <c r="A3" s="43" t="s">
        <v>96</v>
      </c>
      <c r="B3" s="43" t="s">
        <v>107</v>
      </c>
    </row>
    <row r="4" spans="1:9" x14ac:dyDescent="0.25">
      <c r="A4" s="43" t="s">
        <v>108</v>
      </c>
      <c r="B4" t="s">
        <v>97</v>
      </c>
      <c r="C4" t="s">
        <v>98</v>
      </c>
      <c r="D4" t="s">
        <v>99</v>
      </c>
      <c r="E4" t="s">
        <v>100</v>
      </c>
      <c r="F4" t="s">
        <v>101</v>
      </c>
      <c r="G4" t="s">
        <v>102</v>
      </c>
      <c r="H4" t="s">
        <v>103</v>
      </c>
      <c r="I4" t="s">
        <v>109</v>
      </c>
    </row>
    <row r="5" spans="1:9" x14ac:dyDescent="0.25">
      <c r="A5" s="44" t="s">
        <v>105</v>
      </c>
      <c r="B5" s="1">
        <v>5235</v>
      </c>
      <c r="C5" s="1">
        <v>1245</v>
      </c>
      <c r="D5" s="1">
        <v>603</v>
      </c>
      <c r="E5" s="1">
        <v>1928</v>
      </c>
      <c r="F5" s="1">
        <v>2169</v>
      </c>
      <c r="G5" s="1"/>
      <c r="H5" s="1"/>
      <c r="I5" s="1">
        <v>11180</v>
      </c>
    </row>
    <row r="6" spans="1:9" x14ac:dyDescent="0.25">
      <c r="A6" s="44" t="s">
        <v>6</v>
      </c>
      <c r="B6" s="1">
        <v>5220</v>
      </c>
      <c r="C6" s="1">
        <v>1717</v>
      </c>
      <c r="D6" s="1">
        <v>3241</v>
      </c>
      <c r="E6" s="1"/>
      <c r="F6" s="1">
        <v>1699</v>
      </c>
      <c r="G6" s="1">
        <v>1488</v>
      </c>
      <c r="H6" s="1">
        <v>2433</v>
      </c>
      <c r="I6" s="1">
        <v>15798</v>
      </c>
    </row>
    <row r="7" spans="1:9" x14ac:dyDescent="0.25">
      <c r="A7" s="44" t="s">
        <v>109</v>
      </c>
      <c r="B7" s="1">
        <v>10455</v>
      </c>
      <c r="C7" s="1">
        <v>2962</v>
      </c>
      <c r="D7" s="1">
        <v>3844</v>
      </c>
      <c r="E7" s="1">
        <v>1928</v>
      </c>
      <c r="F7" s="1">
        <v>3868</v>
      </c>
      <c r="G7" s="1">
        <v>1488</v>
      </c>
      <c r="H7" s="1">
        <v>2433</v>
      </c>
      <c r="I7" s="1">
        <v>26978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C402AE-C8FC-4F08-BD8E-502D91627F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6</vt:i4>
      </vt:variant>
      <vt:variant>
        <vt:lpstr>Navngivne områder</vt:lpstr>
      </vt:variant>
      <vt:variant>
        <vt:i4>1</vt:i4>
      </vt:variant>
    </vt:vector>
  </HeadingPairs>
  <TitlesOfParts>
    <vt:vector size="7" baseType="lpstr">
      <vt:lpstr>Ark1</vt:lpstr>
      <vt:lpstr>Sheet2</vt:lpstr>
      <vt:lpstr>Posteringer</vt:lpstr>
      <vt:lpstr>Ark2</vt:lpstr>
      <vt:lpstr>Udgifter</vt:lpstr>
      <vt:lpstr>Indtægter</vt:lpstr>
      <vt:lpstr>InputTabel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Hinge</dc:creator>
  <cp:lastModifiedBy>Bruger</cp:lastModifiedBy>
  <dcterms:created xsi:type="dcterms:W3CDTF">2016-08-06T16:07:14Z</dcterms:created>
  <dcterms:modified xsi:type="dcterms:W3CDTF">2016-10-20T06:27:49Z</dcterms:modified>
</cp:coreProperties>
</file>